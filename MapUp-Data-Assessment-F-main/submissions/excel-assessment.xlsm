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51196F13-6AD0-C1B8-E2B4-A1F9AE17003E}"/>
  <workbookPr codeName="ThisWorkbook1" hidePivotFieldList="1"/>
  <bookViews>
    <workbookView xWindow="-105" yWindow="-105" windowWidth="20730" windowHeight="11760" tabRatio="849" activeTab="5"/>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E24" i="20"/>
  <c r="E25"/>
  <c r="E26"/>
  <c r="E27"/>
  <c r="E28"/>
  <c r="E29"/>
  <c r="E30"/>
  <c r="E31"/>
  <c r="E32"/>
  <c r="E33"/>
  <c r="E34"/>
  <c r="E35"/>
  <c r="E23"/>
  <c r="D27"/>
  <c r="D28"/>
  <c r="C28" s="1"/>
  <c r="D29"/>
  <c r="C29" s="1"/>
  <c r="D30"/>
  <c r="C30" s="1"/>
  <c r="D31"/>
  <c r="D32"/>
  <c r="D33"/>
  <c r="C33" s="1"/>
  <c r="D34"/>
  <c r="D35"/>
  <c r="D26"/>
  <c r="D25"/>
  <c r="C25" s="1"/>
  <c r="D24"/>
  <c r="C24" s="1"/>
  <c r="D23"/>
  <c r="C23" s="1"/>
  <c r="C22" i="19"/>
  <c r="F17" i="16"/>
  <c r="F18"/>
  <c r="F19"/>
  <c r="F20"/>
  <c r="F21"/>
  <c r="F22"/>
  <c r="F23"/>
  <c r="F24"/>
  <c r="F25"/>
  <c r="F26"/>
  <c r="F27"/>
  <c r="F28"/>
  <c r="F29"/>
  <c r="F30"/>
  <c r="F31"/>
  <c r="F32"/>
  <c r="F33"/>
  <c r="F34"/>
  <c r="F35"/>
  <c r="F36"/>
  <c r="F37"/>
  <c r="F38"/>
  <c r="F39"/>
  <c r="F40"/>
  <c r="F41"/>
  <c r="F42"/>
  <c r="F43"/>
  <c r="F44"/>
  <c r="F45"/>
  <c r="F46"/>
  <c r="F47"/>
  <c r="F48"/>
  <c r="F49"/>
  <c r="F50"/>
  <c r="F51"/>
  <c r="F52"/>
  <c r="F53"/>
  <c r="F54"/>
  <c r="F16"/>
  <c r="E17"/>
  <c r="E18"/>
  <c r="E19"/>
  <c r="E20"/>
  <c r="E21"/>
  <c r="E22"/>
  <c r="E23"/>
  <c r="E24"/>
  <c r="E25"/>
  <c r="E26"/>
  <c r="E27"/>
  <c r="E28"/>
  <c r="E29"/>
  <c r="E30"/>
  <c r="E31"/>
  <c r="E32"/>
  <c r="E33"/>
  <c r="E34"/>
  <c r="E35"/>
  <c r="E36"/>
  <c r="E37"/>
  <c r="E38"/>
  <c r="E39"/>
  <c r="E40"/>
  <c r="E41"/>
  <c r="E42"/>
  <c r="E43"/>
  <c r="E44"/>
  <c r="E45"/>
  <c r="E46"/>
  <c r="E47"/>
  <c r="E48"/>
  <c r="E49"/>
  <c r="E50"/>
  <c r="E51"/>
  <c r="E52"/>
  <c r="E53"/>
  <c r="E54"/>
  <c r="E16"/>
  <c r="D17"/>
  <c r="D18"/>
  <c r="D19"/>
  <c r="D20"/>
  <c r="D21"/>
  <c r="D22"/>
  <c r="D23"/>
  <c r="D24"/>
  <c r="D25"/>
  <c r="D26"/>
  <c r="D27"/>
  <c r="D28"/>
  <c r="D29"/>
  <c r="D30"/>
  <c r="D31"/>
  <c r="D32"/>
  <c r="D33"/>
  <c r="D34"/>
  <c r="D35"/>
  <c r="D36"/>
  <c r="D37"/>
  <c r="D38"/>
  <c r="D39"/>
  <c r="D40"/>
  <c r="D41"/>
  <c r="D42"/>
  <c r="D43"/>
  <c r="D44"/>
  <c r="D45"/>
  <c r="D46"/>
  <c r="D47"/>
  <c r="D48"/>
  <c r="D49"/>
  <c r="D50"/>
  <c r="D51"/>
  <c r="D52"/>
  <c r="D53"/>
  <c r="D54"/>
  <c r="D16"/>
  <c r="C17"/>
  <c r="C18"/>
  <c r="C19"/>
  <c r="C20"/>
  <c r="C21"/>
  <c r="C22"/>
  <c r="C23"/>
  <c r="C24"/>
  <c r="C25"/>
  <c r="C26"/>
  <c r="C27"/>
  <c r="C28"/>
  <c r="C29"/>
  <c r="C30"/>
  <c r="C31"/>
  <c r="C32"/>
  <c r="C33"/>
  <c r="C34"/>
  <c r="C35"/>
  <c r="C36"/>
  <c r="C37"/>
  <c r="C38"/>
  <c r="C39"/>
  <c r="C40"/>
  <c r="C41"/>
  <c r="C42"/>
  <c r="C43"/>
  <c r="C44"/>
  <c r="C45"/>
  <c r="C46"/>
  <c r="C47"/>
  <c r="C48"/>
  <c r="C49"/>
  <c r="C50"/>
  <c r="C51"/>
  <c r="C52"/>
  <c r="C53"/>
  <c r="C54"/>
  <c r="C16"/>
  <c r="B17"/>
  <c r="B18"/>
  <c r="B19"/>
  <c r="B20"/>
  <c r="B21"/>
  <c r="B22"/>
  <c r="B23"/>
  <c r="B24"/>
  <c r="B25"/>
  <c r="B26"/>
  <c r="B27"/>
  <c r="B28"/>
  <c r="B29"/>
  <c r="B30"/>
  <c r="B31"/>
  <c r="B32"/>
  <c r="B33"/>
  <c r="B34"/>
  <c r="B35"/>
  <c r="B36"/>
  <c r="B37"/>
  <c r="B38"/>
  <c r="B39"/>
  <c r="B40"/>
  <c r="B41"/>
  <c r="B42"/>
  <c r="B43"/>
  <c r="B44"/>
  <c r="B45"/>
  <c r="B46"/>
  <c r="B47"/>
  <c r="B48"/>
  <c r="B49"/>
  <c r="B50"/>
  <c r="B51"/>
  <c r="B52"/>
  <c r="B53"/>
  <c r="B54"/>
  <c r="B16"/>
  <c r="C7" i="18"/>
  <c r="C8"/>
  <c r="C28" s="1"/>
  <c r="C9"/>
  <c r="C10"/>
  <c r="C11"/>
  <c r="C12"/>
  <c r="C13"/>
  <c r="C14"/>
  <c r="C15"/>
  <c r="C16"/>
  <c r="C17"/>
  <c r="C18"/>
  <c r="C19"/>
  <c r="C20"/>
  <c r="C21"/>
  <c r="C22"/>
  <c r="C23"/>
  <c r="C24"/>
  <c r="C25"/>
  <c r="C26"/>
  <c r="C27"/>
  <c r="C6"/>
  <c r="B8"/>
  <c r="B9"/>
  <c r="B10"/>
  <c r="B11"/>
  <c r="B12"/>
  <c r="B13"/>
  <c r="B14"/>
  <c r="B15"/>
  <c r="B16"/>
  <c r="B17"/>
  <c r="B18"/>
  <c r="B19"/>
  <c r="B20"/>
  <c r="B21"/>
  <c r="B22"/>
  <c r="B23"/>
  <c r="B24"/>
  <c r="B25"/>
  <c r="B26"/>
  <c r="B27"/>
  <c r="B7"/>
  <c r="B6"/>
  <c r="F7"/>
  <c r="F8"/>
  <c r="F9"/>
  <c r="F10"/>
  <c r="F11"/>
  <c r="F12"/>
  <c r="F13"/>
  <c r="F14"/>
  <c r="F28" s="1"/>
  <c r="F15"/>
  <c r="F16"/>
  <c r="F17"/>
  <c r="F18"/>
  <c r="F19"/>
  <c r="F20"/>
  <c r="F21"/>
  <c r="F22"/>
  <c r="F23"/>
  <c r="F24"/>
  <c r="F25"/>
  <c r="F26"/>
  <c r="F27"/>
  <c r="F6"/>
  <c r="F29" s="1"/>
  <c r="E7"/>
  <c r="E8"/>
  <c r="E9"/>
  <c r="E10"/>
  <c r="E11"/>
  <c r="E12"/>
  <c r="E13"/>
  <c r="E14"/>
  <c r="E15"/>
  <c r="E16"/>
  <c r="E17"/>
  <c r="E18"/>
  <c r="E19"/>
  <c r="E20"/>
  <c r="E21"/>
  <c r="E22"/>
  <c r="E23"/>
  <c r="E24"/>
  <c r="E25"/>
  <c r="E26"/>
  <c r="E27"/>
  <c r="E6"/>
  <c r="E28" s="1"/>
  <c r="D7"/>
  <c r="D8"/>
  <c r="D9"/>
  <c r="D10"/>
  <c r="D11"/>
  <c r="D12"/>
  <c r="D13"/>
  <c r="D14"/>
  <c r="D15"/>
  <c r="D16"/>
  <c r="D17"/>
  <c r="D18"/>
  <c r="D19"/>
  <c r="D20"/>
  <c r="D21"/>
  <c r="D22"/>
  <c r="D23"/>
  <c r="D24"/>
  <c r="D25"/>
  <c r="D26"/>
  <c r="D27"/>
  <c r="D6"/>
  <c r="D28" s="1"/>
  <c r="C5" i="15"/>
  <c r="C30" i="18" l="1"/>
  <c r="D30"/>
  <c r="C29"/>
  <c r="F30"/>
  <c r="C26" i="20"/>
  <c r="D29" i="18"/>
  <c r="C35" i="20"/>
  <c r="C27"/>
  <c r="B28" i="18"/>
  <c r="B30" s="1"/>
  <c r="E29"/>
  <c r="E30" s="1"/>
  <c r="C34" i="20"/>
  <c r="B29" i="18"/>
  <c r="C32" i="20"/>
  <c r="C31"/>
</calcChain>
</file>

<file path=xl/sharedStrings.xml><?xml version="1.0" encoding="utf-8"?>
<sst xmlns="http://schemas.openxmlformats.org/spreadsheetml/2006/main" count="329" uniqueCount="186">
  <si>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</si>
  <si>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</si>
  <si>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</si>
  <si>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</si>
  <si>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</si>
  <si>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</si>
  <si>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</si>
  <si>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</si>
  <si>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</si>
  <si>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</si>
  <si>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</si>
  <si>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</si>
  <si>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</si>
  <si>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</si>
  <si>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</si>
  <si>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</si>
  <si>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</si>
  <si>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</si>
  <si>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</si>
  <si>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</si>
  <si>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</si>
  <si>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</si>
  <si>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</si>
  <si>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</si>
  <si>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</si>
  <si>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</si>
  <si>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</si>
  <si>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</si>
  <si>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</si>
  <si>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</si>
  <si>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</si>
  <si>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</si>
  <si>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</si>
  <si>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</si>
  <si>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</si>
  <si>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</si>
  <si>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</si>
  <si>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</si>
  <si>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</si>
  <si>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</si>
  <si>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</si>
  <si>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</si>
  <si>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</si>
  <si>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</si>
  <si>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</si>
  <si>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</si>
  <si>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</si>
  <si>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</si>
  <si>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</si>
  <si>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</si>
  <si>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</si>
  <si>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</si>
  <si>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</si>
  <si>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</si>
  <si>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</si>
  <si>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</si>
  <si>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</si>
  <si>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</si>
  <si>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</si>
  <si>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</si>
  <si>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</si>
  <si>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</si>
  <si>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</si>
  <si>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</si>
  <si>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</si>
  <si>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</si>
  <si>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</si>
  <si>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</si>
  <si>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</si>
  <si>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</si>
  <si>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</si>
  <si>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</si>
  <si>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</si>
  <si>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</si>
  <si>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</si>
  <si>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</si>
  <si>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</si>
  <si>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</si>
  <si>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</si>
  <si>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</si>
  <si>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</si>
  <si>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</si>
  <si>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</si>
  <si>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</si>
  <si>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</si>
  <si>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</si>
  <si>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</si>
  <si>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</si>
  <si>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</si>
  <si>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</si>
  <si>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</si>
  <si>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</si>
  <si>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</si>
  <si>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</si>
  <si>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</si>
  <si>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</si>
  <si>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</si>
  <si>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</si>
  <si>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</si>
  <si>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</si>
  <si>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</si>
  <si>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</si>
  <si>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</si>
  <si>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</si>
  <si>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</si>
  <si>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</si>
  <si>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</si>
  <si>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</si>
  <si>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</si>
  <si>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</si>
  <si>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</si>
  <si>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</si>
  <si>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</si>
  <si>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</si>
  <si>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</si>
  <si>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</si>
  <si>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</si>
  <si>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</si>
  <si>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</si>
  <si>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</si>
  <si>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</si>
  <si>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</si>
  <si>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</si>
  <si>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</si>
  <si>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</si>
  <si>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</si>
  <si>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</si>
  <si>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</si>
  <si>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</si>
  <si>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</si>
  <si>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</si>
  <si>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</si>
  <si>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</si>
  <si>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</si>
  <si>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</si>
  <si>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</si>
  <si>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</si>
  <si>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</si>
  <si>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</si>
  <si>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</si>
  <si>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</si>
  <si>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</si>
  <si>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</si>
  <si>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</si>
  <si>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</si>
  <si>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</si>
  <si>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</si>
  <si>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</si>
  <si>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</si>
  <si>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</si>
  <si>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</si>
  <si>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</si>
  <si>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</si>
  <si>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</si>
  <si>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</si>
  <si>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</si>
  <si>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</si>
  <si>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</si>
  <si>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</si>
  <si>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</si>
  <si>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</si>
  <si>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</si>
  <si>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</si>
  <si>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</si>
  <si>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</si>
  <si>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</si>
  <si>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</si>
  <si>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</si>
  <si>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</si>
  <si>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</si>
  <si>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</si>
  <si>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</si>
  <si>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</si>
  <si>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</si>
  <si>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</si>
  <si>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</si>
  <si>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MID</t>
  </si>
  <si>
    <t>Since the number of characters in each column is fixed hence we used Mid function with manually inputted both starting character of column and number of characters</t>
  </si>
  <si>
    <t>All  #N/A values must be substituted with the value '20'</t>
  </si>
  <si>
    <t>Used Find and Replace to update #N/A with 20. Also used SUM function to arrive Total</t>
  </si>
  <si>
    <t>Formula/Functionality used:  Find and Replace  , SUM()</t>
  </si>
  <si>
    <t>ROW</t>
  </si>
  <si>
    <t>COL</t>
  </si>
  <si>
    <t>NAMES</t>
  </si>
  <si>
    <t>Formula/Functionality used:VLOOKUP,MATCH,INDEX</t>
  </si>
  <si>
    <t>Used Vlookup to arrive Row by matching Name_1 in Table_C , ID &amp; Name in Table_B and taken Name as Row. Used Vlookup to arrive Column  by matching Name_2 in Table_C , ID &amp; Name in Table_B and taken Name as Column.Used Match Fucntion  to arrive the row number Based on Row and Col Columns arrived using VLookup.Used Index function to arrive the value based on Row and Column</t>
  </si>
</sst>
</file>

<file path=xl/styles.xml><?xml version="1.0" encoding="utf-8"?>
<styleSheet xmlns="http://schemas.openxmlformats.org/spreadsheetml/2006/main">
  <numFmts count="3">
    <numFmt numFmtId="164" formatCode="hh:mm:ss;@"/>
    <numFmt numFmtId="165" formatCode="yyyy\-mm\-dd;@"/>
    <numFmt numFmtId="166" formatCode="yyyy\-mm\-dd"/>
  </numFmts>
  <fonts count="19">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b/>
      <sz val="10"/>
      <color rgb="FFFF0000"/>
      <name val="Inherit"/>
    </font>
    <font>
      <b/>
      <sz val="10"/>
      <color theme="1"/>
      <name val="Inherit"/>
    </font>
  </fonts>
  <fills count="5">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 xfId="0" applyFont="1" applyBorder="1"/>
    <xf numFmtId="0" fontId="12" fillId="0" borderId="0" xfId="1" applyFont="1"/>
    <xf numFmtId="0" fontId="7" fillId="0" borderId="1" xfId="0" applyFont="1" applyBorder="1"/>
    <xf numFmtId="0" fontId="7" fillId="0" borderId="7" xfId="0" applyFont="1" applyBorder="1"/>
    <xf numFmtId="0" fontId="7" fillId="2" borderId="1" xfId="0" applyFont="1" applyFill="1" applyBorder="1"/>
    <xf numFmtId="0" fontId="7" fillId="3" borderId="1" xfId="0" applyFont="1" applyFill="1" applyBorder="1"/>
    <xf numFmtId="0" fontId="7" fillId="2" borderId="9"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7" xfId="0" applyFont="1" applyBorder="1"/>
    <xf numFmtId="0" fontId="8" fillId="0" borderId="5" xfId="0" applyFont="1" applyBorder="1"/>
    <xf numFmtId="0" fontId="8" fillId="0" borderId="7" xfId="0" applyFont="1" applyBorder="1"/>
    <xf numFmtId="0" fontId="13" fillId="0" borderId="1" xfId="0" applyFont="1" applyBorder="1"/>
    <xf numFmtId="0" fontId="14" fillId="0" borderId="0" xfId="0" applyFont="1"/>
    <xf numFmtId="0" fontId="15" fillId="0" borderId="0" xfId="0" applyFont="1"/>
    <xf numFmtId="0" fontId="16" fillId="4" borderId="0" xfId="1" applyFont="1" applyFill="1" applyAlignment="1">
      <alignment horizontal="center"/>
    </xf>
    <xf numFmtId="0" fontId="13" fillId="0" borderId="0" xfId="0" applyFont="1"/>
    <xf numFmtId="166" fontId="7" fillId="0" borderId="0" xfId="0" applyNumberFormat="1" applyFont="1"/>
    <xf numFmtId="166" fontId="3" fillId="0" borderId="0" xfId="0" applyNumberFormat="1" applyFont="1"/>
    <xf numFmtId="49" fontId="9" fillId="0" borderId="1" xfId="0" applyNumberFormat="1" applyFont="1" applyBorder="1"/>
    <xf numFmtId="0" fontId="17" fillId="0" borderId="0" xfId="0" applyFont="1" applyAlignment="1">
      <alignment horizontal="left" vertical="center"/>
    </xf>
    <xf numFmtId="0" fontId="18" fillId="0" borderId="0" xfId="0" applyFont="1" applyAlignment="1">
      <alignment horizontal="left" vertical="center"/>
    </xf>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8">
    <dxf>
      <fill>
        <patternFill>
          <bgColor rgb="FF00B050"/>
        </patternFill>
      </fill>
    </dxf>
    <dxf>
      <fill>
        <patternFill>
          <bgColor rgb="FFFF0000"/>
        </patternFill>
      </fill>
    </dxf>
    <dxf>
      <font>
        <color rgb="FF006100"/>
      </font>
      <fill>
        <patternFill>
          <bgColor rgb="FFC6EFCE"/>
        </patternFill>
      </fill>
    </dxf>
    <dxf>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7"/>
      <tableStyleElement type="headerRow"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tabColor theme="9" tint="0.39997558519241921"/>
  </sheetPr>
  <dimension ref="A1:C15"/>
  <sheetViews>
    <sheetView zoomScaleNormal="100" workbookViewId="0"/>
  </sheetViews>
  <sheetFormatPr defaultColWidth="11" defaultRowHeight="12.75"/>
  <cols>
    <col min="1" max="1" width="70.83203125" style="2" bestFit="1" customWidth="1"/>
    <col min="2" max="16384" width="11" style="2"/>
  </cols>
  <sheetData>
    <row r="1" spans="1:3" ht="18.75">
      <c r="A1" s="35" t="s">
        <v>108</v>
      </c>
    </row>
    <row r="2" spans="1:3">
      <c r="A2" s="2" t="s">
        <v>109</v>
      </c>
    </row>
    <row r="3" spans="1:3">
      <c r="A3" s="2" t="s">
        <v>110</v>
      </c>
    </row>
    <row r="4" spans="1:3" ht="15">
      <c r="A4" s="2" t="s">
        <v>111</v>
      </c>
      <c r="C4" s="1"/>
    </row>
    <row r="5" spans="1:3">
      <c r="A5" s="2" t="s">
        <v>152</v>
      </c>
    </row>
    <row r="8" spans="1:3">
      <c r="A8" s="2" t="s">
        <v>172</v>
      </c>
    </row>
    <row r="9" spans="1:3">
      <c r="A9" s="32" t="s">
        <v>170</v>
      </c>
      <c r="B9" s="24" t="s">
        <v>168</v>
      </c>
    </row>
    <row r="10" spans="1:3">
      <c r="A10" s="31" t="s">
        <v>171</v>
      </c>
      <c r="B10" s="33">
        <v>25</v>
      </c>
    </row>
    <row r="11" spans="1:3">
      <c r="A11" s="31" t="s">
        <v>55</v>
      </c>
      <c r="B11" s="33">
        <v>30</v>
      </c>
    </row>
    <row r="12" spans="1:3">
      <c r="A12" s="31" t="s">
        <v>56</v>
      </c>
      <c r="B12" s="33">
        <v>10</v>
      </c>
    </row>
    <row r="13" spans="1:3">
      <c r="A13" s="31" t="s">
        <v>85</v>
      </c>
      <c r="B13" s="33">
        <v>20</v>
      </c>
    </row>
    <row r="14" spans="1:3">
      <c r="A14" s="31" t="s">
        <v>98</v>
      </c>
      <c r="B14" s="33">
        <v>40</v>
      </c>
    </row>
    <row r="15" spans="1:3">
      <c r="A15" s="34" t="s">
        <v>169</v>
      </c>
      <c r="B15" s="23">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dimension ref="A1:X40"/>
  <sheetViews>
    <sheetView topLeftCell="I1" zoomScaleNormal="100" workbookViewId="0">
      <pane ySplit="1" topLeftCell="A2" activePane="bottomLeft" state="frozen"/>
      <selection activeCell="M1" sqref="M1"/>
      <selection pane="bottomLeft" activeCell="J7" sqref="J7"/>
    </sheetView>
  </sheetViews>
  <sheetFormatPr defaultColWidth="9" defaultRowHeight="15"/>
  <cols>
    <col min="1" max="1" width="25.33203125" style="1" bestFit="1" customWidth="1"/>
    <col min="2" max="2" width="7.33203125" style="1" bestFit="1" customWidth="1"/>
    <col min="3" max="3" width="9.83203125" style="1" bestFit="1" customWidth="1"/>
    <col min="4" max="4" width="11" style="22" customWidth="1"/>
    <col min="5" max="5" width="9.1640625" style="1" bestFit="1" customWidth="1"/>
    <col min="6" max="6" width="10.33203125" style="22"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6640625" style="41" bestFit="1" customWidth="1"/>
    <col min="25" max="16384" width="9" style="1"/>
  </cols>
  <sheetData>
    <row r="1" spans="1:24" s="3" customFormat="1" ht="14.85" customHeight="1">
      <c r="A1" s="25" t="s">
        <v>64</v>
      </c>
      <c r="B1" s="25" t="s">
        <v>43</v>
      </c>
      <c r="C1" s="25" t="s">
        <v>0</v>
      </c>
      <c r="D1" s="26" t="s">
        <v>1</v>
      </c>
      <c r="E1" s="25" t="s">
        <v>2</v>
      </c>
      <c r="F1" s="26" t="s">
        <v>3</v>
      </c>
      <c r="G1" s="27" t="s">
        <v>79</v>
      </c>
      <c r="H1" s="27" t="s">
        <v>65</v>
      </c>
      <c r="I1" s="27" t="s">
        <v>66</v>
      </c>
      <c r="J1" s="28" t="s">
        <v>67</v>
      </c>
      <c r="K1" s="28" t="s">
        <v>68</v>
      </c>
      <c r="L1" s="28" t="s">
        <v>69</v>
      </c>
      <c r="M1" s="27" t="s">
        <v>70</v>
      </c>
      <c r="N1" s="27" t="s">
        <v>71</v>
      </c>
      <c r="O1" s="27" t="s">
        <v>72</v>
      </c>
      <c r="P1" s="28" t="s">
        <v>73</v>
      </c>
      <c r="Q1" s="28" t="s">
        <v>74</v>
      </c>
      <c r="R1" s="28" t="s">
        <v>75</v>
      </c>
      <c r="S1" s="27" t="s">
        <v>80</v>
      </c>
      <c r="T1" s="27" t="s">
        <v>76</v>
      </c>
      <c r="U1" s="28" t="s">
        <v>81</v>
      </c>
      <c r="V1" s="28" t="s">
        <v>77</v>
      </c>
      <c r="W1" s="28" t="s">
        <v>78</v>
      </c>
      <c r="X1" s="40" t="s">
        <v>105</v>
      </c>
    </row>
    <row r="2" spans="1:24">
      <c r="A2" s="1"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1">
        <v>45051</v>
      </c>
    </row>
    <row r="3" spans="1:24">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1">
        <v>45048</v>
      </c>
    </row>
    <row r="4" spans="1:24">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1">
        <v>45055</v>
      </c>
    </row>
    <row r="5" spans="1:24">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1">
        <v>45059</v>
      </c>
    </row>
    <row r="6" spans="1:24">
      <c r="A6" s="1" t="s">
        <v>9</v>
      </c>
      <c r="B6" s="1">
        <v>20008</v>
      </c>
      <c r="C6" s="1" t="s">
        <v>5</v>
      </c>
      <c r="D6" s="22">
        <v>0</v>
      </c>
      <c r="E6" s="1" t="s">
        <v>6</v>
      </c>
      <c r="F6" s="22">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1">
        <v>45076</v>
      </c>
    </row>
    <row r="7" spans="1:24">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1">
        <v>45057</v>
      </c>
    </row>
    <row r="8" spans="1:24">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1">
        <v>45052</v>
      </c>
    </row>
    <row r="9" spans="1:24">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1">
        <v>45098</v>
      </c>
    </row>
    <row r="10" spans="1:24">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1">
        <v>45092</v>
      </c>
    </row>
    <row r="11" spans="1:24">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1">
        <v>45104</v>
      </c>
    </row>
    <row r="12" spans="1:24">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1">
        <v>45116</v>
      </c>
    </row>
    <row r="13" spans="1:24">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1">
        <v>45110</v>
      </c>
    </row>
    <row r="14" spans="1:24">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1">
        <v>45095</v>
      </c>
    </row>
    <row r="15" spans="1:24">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1">
        <v>45113</v>
      </c>
    </row>
    <row r="16" spans="1:24">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1">
        <v>45063</v>
      </c>
    </row>
    <row r="17" spans="1:24">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1">
        <v>45071</v>
      </c>
    </row>
    <row r="18" spans="1:24">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1">
        <v>45085</v>
      </c>
    </row>
    <row r="19" spans="1:24">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1">
        <v>45099</v>
      </c>
    </row>
    <row r="20" spans="1:24">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1">
        <v>45091</v>
      </c>
    </row>
    <row r="21" spans="1:24">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1">
        <v>45079</v>
      </c>
    </row>
    <row r="22" spans="1:24">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1">
        <v>45075</v>
      </c>
    </row>
    <row r="23" spans="1:24">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1">
        <v>45110</v>
      </c>
    </row>
    <row r="24" spans="1:24">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1">
        <v>45114</v>
      </c>
    </row>
    <row r="25" spans="1:24">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1">
        <v>45118</v>
      </c>
    </row>
    <row r="26" spans="1:24">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1">
        <v>45142</v>
      </c>
    </row>
    <row r="27" spans="1:24">
      <c r="A27" s="1" t="s">
        <v>57</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1">
        <v>45146</v>
      </c>
    </row>
    <row r="28" spans="1:24">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1">
        <v>45108</v>
      </c>
    </row>
    <row r="29" spans="1:24">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1">
        <v>45153</v>
      </c>
    </row>
    <row r="30" spans="1:24">
      <c r="A30" s="1" t="s">
        <v>58</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1">
        <v>45150</v>
      </c>
    </row>
    <row r="31" spans="1:24">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1">
        <v>45157</v>
      </c>
    </row>
    <row r="32" spans="1:24">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1">
        <v>45143</v>
      </c>
    </row>
    <row r="33" spans="1:24">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1">
        <v>45166</v>
      </c>
    </row>
    <row r="34" spans="1:24">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1">
        <v>45162</v>
      </c>
    </row>
    <row r="35" spans="1:24">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1">
        <v>45160</v>
      </c>
    </row>
    <row r="36" spans="1:24">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1">
        <v>45179</v>
      </c>
    </row>
    <row r="37" spans="1:24">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1">
        <v>45157</v>
      </c>
    </row>
    <row r="38" spans="1:24">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1">
        <v>45143</v>
      </c>
    </row>
    <row r="39" spans="1:24">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1">
        <v>45166</v>
      </c>
    </row>
    <row r="40" spans="1:24">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1">
        <v>45162</v>
      </c>
    </row>
  </sheetData>
  <conditionalFormatting sqref="A1:A1048576">
    <cfRule type="duplicateValues" dxfId="5" priority="6"/>
  </conditionalFormatting>
  <conditionalFormatting sqref="B1:B1048576">
    <cfRule type="duplicateValues" dxfId="4" priority="5"/>
  </conditionalFormatting>
  <conditionalFormatting sqref="A2:X40">
    <cfRule type="cellIs" dxfId="3" priority="4" operator="equal">
      <formula>-1</formula>
    </cfRule>
  </conditionalFormatting>
  <conditionalFormatting sqref="G2:X40">
    <cfRule type="cellIs" dxfId="2" priority="3" operator="equal">
      <formula>0</formula>
    </cfRule>
  </conditionalFormatting>
  <conditionalFormatting sqref="G1:W40">
    <cfRule type="cellIs" dxfId="1" priority="2" operator="equal">
      <formula>-1</formula>
    </cfRule>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dimension ref="A1:E14"/>
  <sheetViews>
    <sheetView zoomScaleNormal="100" workbookViewId="0">
      <selection activeCell="C3" sqref="C3"/>
    </sheetView>
  </sheetViews>
  <sheetFormatPr defaultColWidth="11" defaultRowHeight="15"/>
  <cols>
    <col min="1" max="1" width="8.33203125" style="1" bestFit="1" customWidth="1"/>
    <col min="2" max="2" width="65.83203125" style="1" bestFit="1" customWidth="1"/>
    <col min="3" max="3" width="27.6640625" style="1" bestFit="1" customWidth="1"/>
    <col min="4" max="4" width="11" style="1"/>
    <col min="5" max="5" width="14.33203125" style="1" bestFit="1" customWidth="1"/>
    <col min="6" max="16384" width="11" style="1"/>
  </cols>
  <sheetData>
    <row r="1" spans="1:5">
      <c r="A1" s="4" t="s">
        <v>47</v>
      </c>
      <c r="B1" s="4" t="s">
        <v>48</v>
      </c>
      <c r="C1" s="4" t="s">
        <v>44</v>
      </c>
      <c r="E1" s="4" t="s">
        <v>175</v>
      </c>
    </row>
    <row r="2" spans="1:5">
      <c r="A2" s="2"/>
      <c r="B2" s="5" t="s">
        <v>160</v>
      </c>
      <c r="C2" s="2"/>
    </row>
    <row r="3" spans="1:5">
      <c r="A3" s="6">
        <v>1</v>
      </c>
      <c r="B3" s="2" t="s">
        <v>107</v>
      </c>
      <c r="C3" s="2" t="s">
        <v>45</v>
      </c>
      <c r="E3" s="1">
        <v>5</v>
      </c>
    </row>
    <row r="4" spans="1:5">
      <c r="A4" s="6">
        <v>2</v>
      </c>
      <c r="B4" s="2" t="s">
        <v>46</v>
      </c>
      <c r="C4" s="2"/>
      <c r="E4" s="1">
        <v>5</v>
      </c>
    </row>
    <row r="5" spans="1:5">
      <c r="A5" s="6">
        <v>3</v>
      </c>
      <c r="B5" s="2" t="s">
        <v>104</v>
      </c>
      <c r="C5" s="2">
        <f>SUMIF(Dataset!H4:H40,"&gt;20")</f>
        <v>1473.0000000000002</v>
      </c>
      <c r="E5" s="1">
        <v>10</v>
      </c>
    </row>
    <row r="6" spans="1:5">
      <c r="A6" s="6">
        <v>4</v>
      </c>
      <c r="B6" s="2" t="s">
        <v>106</v>
      </c>
      <c r="C6" s="2"/>
      <c r="E6" s="1">
        <v>5</v>
      </c>
    </row>
    <row r="7" spans="1:5">
      <c r="A7" s="2"/>
      <c r="B7" s="2"/>
      <c r="C7" s="2"/>
    </row>
    <row r="13" spans="1:5">
      <c r="E13" s="2"/>
    </row>
    <row r="14" spans="1:5">
      <c r="E14" s="2"/>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dimension ref="A1:G30"/>
  <sheetViews>
    <sheetView topLeftCell="A13" zoomScaleNormal="100" workbookViewId="0">
      <selection activeCell="D6" sqref="D6"/>
    </sheetView>
  </sheetViews>
  <sheetFormatPr defaultColWidth="11" defaultRowHeight="12.75"/>
  <cols>
    <col min="1" max="1" width="18.6640625" style="2" bestFit="1" customWidth="1"/>
    <col min="2" max="6" width="15.33203125" style="2" customWidth="1"/>
    <col min="7" max="7" width="11" style="2"/>
    <col min="8" max="8" width="14.33203125" style="2" bestFit="1" customWidth="1"/>
    <col min="9" max="16384" width="11" style="2"/>
  </cols>
  <sheetData>
    <row r="1" spans="1:7" s="37" customFormat="1" ht="21">
      <c r="A1" s="38" t="s">
        <v>55</v>
      </c>
      <c r="B1" s="37" t="s">
        <v>164</v>
      </c>
    </row>
    <row r="2" spans="1:7" s="37" customFormat="1" ht="21">
      <c r="B2" s="37" t="s">
        <v>161</v>
      </c>
    </row>
    <row r="3" spans="1:7" ht="15">
      <c r="A3" s="1"/>
      <c r="B3" s="1"/>
      <c r="C3" s="1"/>
      <c r="D3" s="1"/>
      <c r="E3" s="1"/>
      <c r="F3" s="1"/>
      <c r="G3" s="1"/>
    </row>
    <row r="4" spans="1:7" ht="23.25">
      <c r="A4" s="16" t="s">
        <v>162</v>
      </c>
      <c r="B4" s="1"/>
      <c r="C4" s="1"/>
      <c r="D4" s="1"/>
      <c r="E4" s="1"/>
      <c r="F4" s="1"/>
      <c r="G4" s="1"/>
    </row>
    <row r="5" spans="1:7" ht="15">
      <c r="A5" s="18" t="s">
        <v>64</v>
      </c>
      <c r="B5" s="19" t="s">
        <v>79</v>
      </c>
      <c r="C5" s="20" t="s">
        <v>71</v>
      </c>
      <c r="D5" s="19" t="s">
        <v>75</v>
      </c>
      <c r="E5" s="20" t="s">
        <v>76</v>
      </c>
      <c r="F5" s="21" t="s">
        <v>77</v>
      </c>
    </row>
    <row r="6" spans="1:7" ht="15">
      <c r="A6" s="7" t="s">
        <v>40</v>
      </c>
      <c r="B6" s="10">
        <f>VLOOKUP($A6,Dataset!$A1:$W40,7,FALSE)</f>
        <v>2.7</v>
      </c>
      <c r="C6" s="10">
        <f>VLOOKUP($A6,Dataset!$A1:$W40,14,FALSE)</f>
        <v>7.6</v>
      </c>
      <c r="D6" s="10">
        <f>VLOOKUP($A6,Dataset!$A1:$W40,18,FALSE)</f>
        <v>4.2</v>
      </c>
      <c r="E6" s="10">
        <f>VLOOKUP($A6,Dataset!$A1:$W40,20,FALSE)</f>
        <v>8.9</v>
      </c>
      <c r="F6" s="10">
        <f>VLOOKUP($A6,Dataset!$A1:$W40,22,FALSE)</f>
        <v>4.2</v>
      </c>
    </row>
    <row r="7" spans="1:7" ht="15">
      <c r="A7" s="7" t="s">
        <v>4</v>
      </c>
      <c r="B7" s="10">
        <f>VLOOKUP($A7,Dataset!$A2:$W41,7,FALSE)</f>
        <v>2.7</v>
      </c>
      <c r="C7" s="10">
        <f>VLOOKUP($A7,Dataset!$A2:$W41,14,FALSE)</f>
        <v>7.6</v>
      </c>
      <c r="D7" s="10">
        <f>VLOOKUP($A7,Dataset!$A2:$W41,18,FALSE)</f>
        <v>4.2</v>
      </c>
      <c r="E7" s="10">
        <f>VLOOKUP($A7,Dataset!$A2:$W41,20,FALSE)</f>
        <v>8.9</v>
      </c>
      <c r="F7" s="10">
        <f>VLOOKUP($A7,Dataset!$A2:$W41,22,FALSE)</f>
        <v>4.2</v>
      </c>
    </row>
    <row r="8" spans="1:7" ht="15">
      <c r="A8" s="7" t="s">
        <v>7</v>
      </c>
      <c r="B8" s="10">
        <f>VLOOKUP($A8,Dataset!$A3:$W42,7,FALSE)</f>
        <v>3.6</v>
      </c>
      <c r="C8" s="10">
        <f>VLOOKUP($A8,Dataset!$A3:$W42,14,FALSE)</f>
        <v>11.1</v>
      </c>
      <c r="D8" s="10">
        <f>VLOOKUP($A8,Dataset!$A3:$W42,18,FALSE)</f>
        <v>5.8</v>
      </c>
      <c r="E8" s="10">
        <f>VLOOKUP($A8,Dataset!$A3:$W42,20,FALSE)</f>
        <v>12.2</v>
      </c>
      <c r="F8" s="10">
        <f>VLOOKUP($A8,Dataset!$A3:$W42,22,FALSE)</f>
        <v>5.8</v>
      </c>
    </row>
    <row r="9" spans="1:7" ht="15">
      <c r="A9" s="7" t="s">
        <v>8</v>
      </c>
      <c r="B9" s="10">
        <f>VLOOKUP($A9,Dataset!$A4:$W43,7,FALSE)</f>
        <v>4.9000000000000004</v>
      </c>
      <c r="C9" s="10">
        <f>VLOOKUP($A9,Dataset!$A4:$W43,14,FALSE)</f>
        <v>13.3</v>
      </c>
      <c r="D9" s="10">
        <f>VLOOKUP($A9,Dataset!$A4:$W43,18,FALSE)</f>
        <v>8.1</v>
      </c>
      <c r="E9" s="10">
        <f>VLOOKUP($A9,Dataset!$A4:$W43,20,FALSE)</f>
        <v>17</v>
      </c>
      <c r="F9" s="10">
        <f>VLOOKUP($A9,Dataset!$A4:$W43,22,FALSE)</f>
        <v>8.1</v>
      </c>
    </row>
    <row r="10" spans="1:7" ht="15">
      <c r="A10" s="7" t="s">
        <v>11</v>
      </c>
      <c r="B10" s="10">
        <f>VLOOKUP($A10,Dataset!$A5:$W44,7,FALSE)</f>
        <v>9.4</v>
      </c>
      <c r="C10" s="10">
        <f>VLOOKUP($A10,Dataset!$A5:$W44,14,FALSE)</f>
        <v>28.3</v>
      </c>
      <c r="D10" s="10">
        <f>VLOOKUP($A10,Dataset!$A5:$W44,18,FALSE)</f>
        <v>16.100000000000001</v>
      </c>
      <c r="E10" s="10">
        <f>VLOOKUP($A10,Dataset!$A5:$W44,20,FALSE)</f>
        <v>32.799999999999997</v>
      </c>
      <c r="F10" s="10">
        <f>VLOOKUP($A10,Dataset!$A5:$W44,22,FALSE)</f>
        <v>16.100000000000001</v>
      </c>
    </row>
    <row r="11" spans="1:7" ht="15">
      <c r="A11" s="7" t="s">
        <v>12</v>
      </c>
      <c r="B11" s="10">
        <f>VLOOKUP($A11,Dataset!$A6:$W45,7,FALSE)</f>
        <v>11.6</v>
      </c>
      <c r="C11" s="10">
        <f>VLOOKUP($A11,Dataset!$A6:$W45,14,FALSE)</f>
        <v>35.200000000000003</v>
      </c>
      <c r="D11" s="10">
        <f>VLOOKUP($A11,Dataset!$A6:$W45,18,FALSE)</f>
        <v>21.3</v>
      </c>
      <c r="E11" s="10">
        <f>VLOOKUP($A11,Dataset!$A6:$W45,20,FALSE)</f>
        <v>43</v>
      </c>
      <c r="F11" s="10">
        <f>VLOOKUP($A11,Dataset!$A6:$W45,22,FALSE)</f>
        <v>21.3</v>
      </c>
    </row>
    <row r="12" spans="1:7" ht="15">
      <c r="A12" s="7" t="s">
        <v>14</v>
      </c>
      <c r="B12" s="10">
        <f>VLOOKUP($A12,Dataset!$A7:$W46,7,FALSE)</f>
        <v>18.399999999999999</v>
      </c>
      <c r="C12" s="10">
        <f>VLOOKUP($A12,Dataset!$A7:$W46,14,FALSE)</f>
        <v>55.6</v>
      </c>
      <c r="D12" s="10">
        <f>VLOOKUP($A12,Dataset!$A7:$W46,18,FALSE)</f>
        <v>33.799999999999997</v>
      </c>
      <c r="E12" s="10">
        <f>VLOOKUP($A12,Dataset!$A7:$W46,20,FALSE)</f>
        <v>67.900000000000006</v>
      </c>
      <c r="F12" s="10">
        <f>VLOOKUP($A12,Dataset!$A7:$W46,22,FALSE)</f>
        <v>33.799999999999997</v>
      </c>
    </row>
    <row r="13" spans="1:7" ht="15">
      <c r="A13" s="7" t="s">
        <v>15</v>
      </c>
      <c r="B13" s="10">
        <f>VLOOKUP($A13,Dataset!$A8:$W47,7,FALSE)</f>
        <v>0</v>
      </c>
      <c r="C13" s="10">
        <f>VLOOKUP($A13,Dataset!$A8:$W47,14,FALSE)</f>
        <v>0</v>
      </c>
      <c r="D13" s="10">
        <f>VLOOKUP($A13,Dataset!$A8:$W47,18,FALSE)</f>
        <v>0</v>
      </c>
      <c r="E13" s="10">
        <f>VLOOKUP($A13,Dataset!$A8:$W47,20,FALSE)</f>
        <v>0</v>
      </c>
      <c r="F13" s="10">
        <f>VLOOKUP($A13,Dataset!$A8:$W47,22,FALSE)</f>
        <v>0</v>
      </c>
    </row>
    <row r="14" spans="1:7" ht="15">
      <c r="A14" s="7" t="s">
        <v>16</v>
      </c>
      <c r="B14" s="10">
        <f>VLOOKUP($A14,Dataset!$A9:$W48,7,FALSE)</f>
        <v>21.9</v>
      </c>
      <c r="C14" s="10">
        <f>VLOOKUP($A14,Dataset!$A9:$W48,14,FALSE)</f>
        <v>61.5</v>
      </c>
      <c r="D14" s="10">
        <f>VLOOKUP($A14,Dataset!$A9:$W48,18,FALSE)</f>
        <v>40.1</v>
      </c>
      <c r="E14" s="10">
        <f>VLOOKUP($A14,Dataset!$A9:$W48,20,FALSE)</f>
        <v>76.599999999999994</v>
      </c>
      <c r="F14" s="10">
        <f>VLOOKUP($A14,Dataset!$A9:$W48,22,FALSE)</f>
        <v>40.1</v>
      </c>
    </row>
    <row r="15" spans="1:7" ht="15">
      <c r="A15" s="7" t="s">
        <v>18</v>
      </c>
      <c r="B15" s="10">
        <f>VLOOKUP($A15,Dataset!$A10:$W49,7,FALSE)</f>
        <v>26.8</v>
      </c>
      <c r="C15" s="10">
        <f>VLOOKUP($A15,Dataset!$A10:$W49,14,FALSE)</f>
        <v>79.599999999999994</v>
      </c>
      <c r="D15" s="10">
        <f>VLOOKUP($A15,Dataset!$A10:$W49,18,FALSE)</f>
        <v>47.9</v>
      </c>
      <c r="E15" s="10">
        <f>VLOOKUP($A15,Dataset!$A10:$W49,20,FALSE)</f>
        <v>96.8</v>
      </c>
      <c r="F15" s="10">
        <f>VLOOKUP($A15,Dataset!$A10:$W49,22,FALSE)</f>
        <v>47.9</v>
      </c>
    </row>
    <row r="16" spans="1:7" ht="15">
      <c r="A16" s="7" t="s">
        <v>20</v>
      </c>
      <c r="B16" s="10">
        <f>VLOOKUP($A16,Dataset!$A11:$W50,7,FALSE)</f>
        <v>28.5</v>
      </c>
      <c r="C16" s="10">
        <f>VLOOKUP($A16,Dataset!$A11:$W50,14,FALSE)</f>
        <v>85.4</v>
      </c>
      <c r="D16" s="10">
        <f>VLOOKUP($A16,Dataset!$A11:$W50,18,FALSE)</f>
        <v>52.3</v>
      </c>
      <c r="E16" s="10">
        <f>VLOOKUP($A16,Dataset!$A11:$W50,20,FALSE)</f>
        <v>106.1</v>
      </c>
      <c r="F16" s="10">
        <f>VLOOKUP($A16,Dataset!$A11:$W50,22,FALSE)</f>
        <v>52.3</v>
      </c>
    </row>
    <row r="17" spans="1:6" ht="15">
      <c r="A17" s="7" t="s">
        <v>22</v>
      </c>
      <c r="B17" s="10">
        <f>VLOOKUP($A17,Dataset!$A12:$W51,7,FALSE)</f>
        <v>30.7</v>
      </c>
      <c r="C17" s="10">
        <f>VLOOKUP($A17,Dataset!$A12:$W51,14,FALSE)</f>
        <v>92.1</v>
      </c>
      <c r="D17" s="10">
        <f>VLOOKUP($A17,Dataset!$A12:$W51,18,FALSE)</f>
        <v>57</v>
      </c>
      <c r="E17" s="10">
        <f>VLOOKUP($A17,Dataset!$A12:$W51,20,FALSE)</f>
        <v>115.1</v>
      </c>
      <c r="F17" s="10">
        <f>VLOOKUP($A17,Dataset!$A12:$W51,22,FALSE)</f>
        <v>57</v>
      </c>
    </row>
    <row r="18" spans="1:6" ht="15">
      <c r="A18" s="7" t="s">
        <v>23</v>
      </c>
      <c r="B18" s="10">
        <f>VLOOKUP($A18,Dataset!$A13:$W52,7,FALSE)</f>
        <v>33.799999999999997</v>
      </c>
      <c r="C18" s="10">
        <f>VLOOKUP($A18,Dataset!$A13:$W52,14,FALSE)</f>
        <v>101.3</v>
      </c>
      <c r="D18" s="10">
        <f>VLOOKUP($A18,Dataset!$A13:$W52,18,FALSE)</f>
        <v>61.4</v>
      </c>
      <c r="E18" s="10">
        <f>VLOOKUP($A18,Dataset!$A13:$W52,20,FALSE)</f>
        <v>124.4</v>
      </c>
      <c r="F18" s="10">
        <f>VLOOKUP($A18,Dataset!$A13:$W52,22,FALSE)</f>
        <v>61.4</v>
      </c>
    </row>
    <row r="19" spans="1:6" ht="15">
      <c r="A19" s="7" t="s">
        <v>24</v>
      </c>
      <c r="B19" s="10">
        <f>VLOOKUP($A19,Dataset!$A14:$W53,7,FALSE)</f>
        <v>34.700000000000003</v>
      </c>
      <c r="C19" s="10">
        <f>VLOOKUP($A19,Dataset!$A14:$W53,14,FALSE)</f>
        <v>106.1</v>
      </c>
      <c r="D19" s="10">
        <f>VLOOKUP($A19,Dataset!$A14:$W53,18,FALSE)</f>
        <v>63.6</v>
      </c>
      <c r="E19" s="10">
        <f>VLOOKUP($A19,Dataset!$A14:$W53,20,FALSE)</f>
        <v>128.6</v>
      </c>
      <c r="F19" s="10">
        <f>VLOOKUP($A19,Dataset!$A14:$W53,22,FALSE)</f>
        <v>63.6</v>
      </c>
    </row>
    <row r="20" spans="1:6" ht="15">
      <c r="A20" s="7" t="s">
        <v>28</v>
      </c>
      <c r="B20" s="10">
        <f>VLOOKUP($A20,Dataset!$A15:$W54,7,FALSE)</f>
        <v>0</v>
      </c>
      <c r="C20" s="10">
        <f>VLOOKUP($A20,Dataset!$A15:$W54,14,FALSE)</f>
        <v>0</v>
      </c>
      <c r="D20" s="10">
        <f>VLOOKUP($A20,Dataset!$A15:$W54,18,FALSE)</f>
        <v>0</v>
      </c>
      <c r="E20" s="10">
        <f>VLOOKUP($A20,Dataset!$A15:$W54,20,FALSE)</f>
        <v>0</v>
      </c>
      <c r="F20" s="10">
        <f>VLOOKUP($A20,Dataset!$A15:$W54,22,FALSE)</f>
        <v>0</v>
      </c>
    </row>
    <row r="21" spans="1:6" ht="15">
      <c r="A21" s="7" t="s">
        <v>57</v>
      </c>
      <c r="B21" s="10">
        <f>VLOOKUP($A21,Dataset!$A16:$W55,7,FALSE)</f>
        <v>41.3</v>
      </c>
      <c r="C21" s="10">
        <f>VLOOKUP($A21,Dataset!$A16:$W55,14,FALSE)</f>
        <v>124.4</v>
      </c>
      <c r="D21" s="10">
        <f>VLOOKUP($A21,Dataset!$A16:$W55,18,FALSE)</f>
        <v>75</v>
      </c>
      <c r="E21" s="10">
        <f>VLOOKUP($A21,Dataset!$A16:$W55,20,FALSE)</f>
        <v>151.5</v>
      </c>
      <c r="F21" s="10">
        <f>VLOOKUP($A21,Dataset!$A16:$W55,22,FALSE)</f>
        <v>75</v>
      </c>
    </row>
    <row r="22" spans="1:6" ht="15">
      <c r="A22" s="7" t="s">
        <v>58</v>
      </c>
      <c r="B22" s="10">
        <f>VLOOKUP($A22,Dataset!$A17:$W56,7,FALSE)</f>
        <v>-1</v>
      </c>
      <c r="C22" s="10">
        <f>VLOOKUP($A22,Dataset!$A17:$W56,14,FALSE)</f>
        <v>-1</v>
      </c>
      <c r="D22" s="10">
        <f>VLOOKUP($A22,Dataset!$A17:$W56,18,FALSE)</f>
        <v>-1</v>
      </c>
      <c r="E22" s="10">
        <f>VLOOKUP($A22,Dataset!$A17:$W56,20,FALSE)</f>
        <v>-1</v>
      </c>
      <c r="F22" s="10">
        <f>VLOOKUP($A22,Dataset!$A17:$W56,22,FALSE)</f>
        <v>-1</v>
      </c>
    </row>
    <row r="23" spans="1:6" ht="15">
      <c r="A23" s="7" t="s">
        <v>31</v>
      </c>
      <c r="B23" s="10">
        <f>VLOOKUP($A23,Dataset!$A18:$W57,7,FALSE)</f>
        <v>45</v>
      </c>
      <c r="C23" s="10">
        <f>VLOOKUP($A23,Dataset!$A18:$W57,14,FALSE)</f>
        <v>133.4</v>
      </c>
      <c r="D23" s="10">
        <f>VLOOKUP($A23,Dataset!$A18:$W57,18,FALSE)</f>
        <v>79.400000000000006</v>
      </c>
      <c r="E23" s="10">
        <f>VLOOKUP($A23,Dataset!$A18:$W57,20,FALSE)</f>
        <v>160.9</v>
      </c>
      <c r="F23" s="10">
        <f>VLOOKUP($A23,Dataset!$A18:$W57,22,FALSE)</f>
        <v>79.400000000000006</v>
      </c>
    </row>
    <row r="24" spans="1:6" ht="15">
      <c r="A24" s="7" t="s">
        <v>32</v>
      </c>
      <c r="B24" s="10">
        <f>VLOOKUP($A24,Dataset!$A19:$W58,7,FALSE)</f>
        <v>-1</v>
      </c>
      <c r="C24" s="10">
        <f>VLOOKUP($A24,Dataset!$A19:$W58,14,FALSE)</f>
        <v>-1</v>
      </c>
      <c r="D24" s="10">
        <f>VLOOKUP($A24,Dataset!$A19:$W58,18,FALSE)</f>
        <v>-1</v>
      </c>
      <c r="E24" s="10">
        <f>VLOOKUP($A24,Dataset!$A19:$W58,20,FALSE)</f>
        <v>-1</v>
      </c>
      <c r="F24" s="10">
        <f>VLOOKUP($A24,Dataset!$A19:$W58,22,FALSE)</f>
        <v>-1</v>
      </c>
    </row>
    <row r="25" spans="1:6" ht="15">
      <c r="A25" s="7" t="s">
        <v>34</v>
      </c>
      <c r="B25" s="10">
        <f>VLOOKUP($A25,Dataset!$A20:$W59,7,FALSE)</f>
        <v>43.3</v>
      </c>
      <c r="C25" s="10">
        <f>VLOOKUP($A25,Dataset!$A20:$W59,14,FALSE)</f>
        <v>128.6</v>
      </c>
      <c r="D25" s="10">
        <f>VLOOKUP($A25,Dataset!$A20:$W59,18,FALSE)</f>
        <v>79.400000000000006</v>
      </c>
      <c r="E25" s="10">
        <f>VLOOKUP($A25,Dataset!$A20:$W59,20,FALSE)</f>
        <v>160.9</v>
      </c>
      <c r="F25" s="10">
        <f>VLOOKUP($A25,Dataset!$A20:$W59,22,FALSE)</f>
        <v>79.400000000000006</v>
      </c>
    </row>
    <row r="26" spans="1:6" ht="15">
      <c r="A26" s="7" t="s">
        <v>37</v>
      </c>
      <c r="B26" s="10">
        <f>VLOOKUP($A26,Dataset!$A21:$W60,7,FALSE)</f>
        <v>49.1</v>
      </c>
      <c r="C26" s="10">
        <f>VLOOKUP($A26,Dataset!$A21:$W60,14,FALSE)</f>
        <v>146.80000000000001</v>
      </c>
      <c r="D26" s="10">
        <f>VLOOKUP($A26,Dataset!$A21:$W60,18,FALSE)</f>
        <v>90.9</v>
      </c>
      <c r="E26" s="10">
        <f>VLOOKUP($A26,Dataset!$A21:$W60,20,FALSE)</f>
        <v>183.5</v>
      </c>
      <c r="F26" s="10">
        <f>VLOOKUP($A26,Dataset!$A21:$W60,22,FALSE)</f>
        <v>90.9</v>
      </c>
    </row>
    <row r="27" spans="1:6" ht="15">
      <c r="A27" s="7" t="s">
        <v>39</v>
      </c>
      <c r="B27" s="10">
        <f>VLOOKUP($A27,Dataset!$A22:$W61,7,FALSE)</f>
        <v>51.8</v>
      </c>
      <c r="C27" s="10">
        <f>VLOOKUP($A27,Dataset!$A22:$W61,14,FALSE)</f>
        <v>156.4</v>
      </c>
      <c r="D27" s="10">
        <f>VLOOKUP($A27,Dataset!$A22:$W61,18,FALSE)</f>
        <v>93.1</v>
      </c>
      <c r="E27" s="10">
        <f>VLOOKUP($A27,Dataset!$A22:$W61,20,FALSE)</f>
        <v>188.1</v>
      </c>
      <c r="F27" s="10">
        <f>VLOOKUP($A27,Dataset!$A22:$W61,22,FALSE)</f>
        <v>93.1</v>
      </c>
    </row>
    <row r="28" spans="1:6" ht="15">
      <c r="A28" s="17" t="s">
        <v>82</v>
      </c>
      <c r="B28" s="10">
        <f>MIN(B6:B27)</f>
        <v>-1</v>
      </c>
      <c r="C28" s="10">
        <f>MIN(C6:C27)</f>
        <v>-1</v>
      </c>
      <c r="D28" s="10">
        <f>MIN(D6:D27)</f>
        <v>-1</v>
      </c>
      <c r="E28" s="10">
        <f>MIN(E6:E27)</f>
        <v>-1</v>
      </c>
      <c r="F28" s="10">
        <f>MIN(F6:F27)</f>
        <v>-1</v>
      </c>
    </row>
    <row r="29" spans="1:6" ht="15">
      <c r="A29" s="17" t="s">
        <v>83</v>
      </c>
      <c r="B29" s="10">
        <f>MAX(B6:B27)</f>
        <v>51.8</v>
      </c>
      <c r="C29" s="10">
        <f>MAX(C6:C27)</f>
        <v>156.4</v>
      </c>
      <c r="D29" s="10">
        <f>MAX(D6:D27)</f>
        <v>93.1</v>
      </c>
      <c r="E29" s="10">
        <f>MAX(E6:E27)</f>
        <v>188.1</v>
      </c>
      <c r="F29" s="10">
        <f>MAX(F6:F27)</f>
        <v>93.1</v>
      </c>
    </row>
    <row r="30" spans="1:6" ht="15">
      <c r="A30" s="17" t="s">
        <v>84</v>
      </c>
      <c r="B30" s="10">
        <f>AVERAGE(B6:B29)</f>
        <v>21.208333333333336</v>
      </c>
      <c r="C30" s="10">
        <f>AVERAGE(C6:C29)</f>
        <v>63.654166666666669</v>
      </c>
      <c r="D30" s="10">
        <f>AVERAGE(D6:D29)</f>
        <v>38.487500000000004</v>
      </c>
      <c r="E30" s="10">
        <f>AVERAGE(E6:E29)</f>
        <v>77.845833333333331</v>
      </c>
      <c r="F30" s="10">
        <f>AVERAGE(F6:F29)</f>
        <v>38.487500000000004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J54"/>
  <sheetViews>
    <sheetView topLeftCell="A12" zoomScaleNormal="100" workbookViewId="0">
      <selection activeCell="A7" sqref="A7"/>
    </sheetView>
  </sheetViews>
  <sheetFormatPr defaultColWidth="11" defaultRowHeight="15"/>
  <cols>
    <col min="1" max="1" width="39.83203125" style="1" bestFit="1" customWidth="1"/>
    <col min="2" max="16384" width="11" style="1"/>
  </cols>
  <sheetData>
    <row r="1" spans="1:10" s="37" customFormat="1" ht="21">
      <c r="A1" s="38" t="s">
        <v>56</v>
      </c>
      <c r="B1" s="37" t="s">
        <v>173</v>
      </c>
    </row>
    <row r="2" spans="1:10" customFormat="1" ht="12.75"/>
    <row r="3" spans="1:10" s="2" customFormat="1">
      <c r="B3" s="1"/>
    </row>
    <row r="4" spans="1:10" s="2" customFormat="1">
      <c r="B4" s="1" t="s">
        <v>151</v>
      </c>
    </row>
    <row r="5" spans="1:10" ht="18.75">
      <c r="A5" s="39" t="s">
        <v>53</v>
      </c>
      <c r="B5" s="36" t="s">
        <v>176</v>
      </c>
    </row>
    <row r="6" spans="1:10" ht="18.75">
      <c r="A6" s="39" t="s">
        <v>153</v>
      </c>
      <c r="B6" s="36"/>
    </row>
    <row r="7" spans="1:10" ht="18.75">
      <c r="A7" s="39" t="s">
        <v>177</v>
      </c>
      <c r="B7" s="36"/>
    </row>
    <row r="9" spans="1:10" ht="23.25">
      <c r="A9" s="16" t="s">
        <v>165</v>
      </c>
      <c r="I9" s="2"/>
      <c r="J9" s="2"/>
    </row>
    <row r="10" spans="1:10">
      <c r="A10" s="30" t="s">
        <v>102</v>
      </c>
      <c r="B10" s="15" t="s">
        <v>49</v>
      </c>
      <c r="C10" s="15" t="s">
        <v>50</v>
      </c>
      <c r="D10" s="15" t="s">
        <v>51</v>
      </c>
      <c r="E10" s="15" t="s">
        <v>52</v>
      </c>
      <c r="F10" s="15" t="s">
        <v>54</v>
      </c>
      <c r="I10" s="2"/>
      <c r="J10" s="2"/>
    </row>
    <row r="11" spans="1:10">
      <c r="A11" s="8" t="s">
        <v>121</v>
      </c>
      <c r="B11" s="11">
        <v>20000</v>
      </c>
      <c r="C11" s="11" t="s">
        <v>5</v>
      </c>
      <c r="D11" s="11">
        <v>0</v>
      </c>
      <c r="E11" s="9" t="s">
        <v>6</v>
      </c>
      <c r="F11" s="9">
        <v>24</v>
      </c>
      <c r="I11" s="2"/>
      <c r="J11" s="2"/>
    </row>
    <row r="14" spans="1:10" ht="23.25">
      <c r="A14" s="16" t="s">
        <v>162</v>
      </c>
    </row>
    <row r="15" spans="1:10">
      <c r="A15" s="12" t="s">
        <v>103</v>
      </c>
      <c r="B15" s="15" t="s">
        <v>49</v>
      </c>
      <c r="C15" s="13" t="s">
        <v>50</v>
      </c>
      <c r="D15" s="15" t="s">
        <v>51</v>
      </c>
      <c r="E15" s="13" t="s">
        <v>52</v>
      </c>
      <c r="F15" s="15" t="s">
        <v>54</v>
      </c>
    </row>
    <row r="16" spans="1:10">
      <c r="A16" s="7" t="s">
        <v>121</v>
      </c>
      <c r="B16" s="10" t="str">
        <f>MID($A16,1,5)</f>
        <v>20000</v>
      </c>
      <c r="C16" s="10" t="str">
        <f>MID($A16,7,6)</f>
        <v>Monday</v>
      </c>
      <c r="D16" s="10" t="str">
        <f>MID($A16,14,1)</f>
        <v>0</v>
      </c>
      <c r="E16" s="10" t="str">
        <f>MID($A16,16,6)</f>
        <v>Sunday</v>
      </c>
      <c r="F16" s="10" t="str">
        <f>MID($A16,23,2)</f>
        <v>24</v>
      </c>
    </row>
    <row r="17" spans="1:6">
      <c r="A17" s="7" t="s">
        <v>122</v>
      </c>
      <c r="B17" s="10" t="str">
        <f t="shared" ref="B17:B54" si="0">MID($A17,1,5)</f>
        <v>20002</v>
      </c>
      <c r="C17" s="10" t="str">
        <f t="shared" ref="C17:C54" si="1">MID($A17,7,6)</f>
        <v>Monday</v>
      </c>
      <c r="D17" s="10" t="str">
        <f t="shared" ref="D17:D54" si="2">MID($A17,14,1)</f>
        <v>0</v>
      </c>
      <c r="E17" s="10" t="str">
        <f t="shared" ref="E17:E54" si="3">MID($A17,16,6)</f>
        <v>Sunday</v>
      </c>
      <c r="F17" s="10" t="str">
        <f t="shared" ref="F17:F54" si="4">MID($A17,23,2)</f>
        <v>24</v>
      </c>
    </row>
    <row r="18" spans="1:6">
      <c r="A18" s="7" t="s">
        <v>123</v>
      </c>
      <c r="B18" s="10" t="str">
        <f t="shared" si="0"/>
        <v>20004</v>
      </c>
      <c r="C18" s="10" t="str">
        <f t="shared" si="1"/>
        <v>Monday</v>
      </c>
      <c r="D18" s="10" t="str">
        <f t="shared" si="2"/>
        <v>0</v>
      </c>
      <c r="E18" s="10" t="str">
        <f t="shared" si="3"/>
        <v>Sunday</v>
      </c>
      <c r="F18" s="10" t="str">
        <f t="shared" si="4"/>
        <v>24</v>
      </c>
    </row>
    <row r="19" spans="1:6">
      <c r="A19" s="7" t="s">
        <v>124</v>
      </c>
      <c r="B19" s="10" t="str">
        <f t="shared" si="0"/>
        <v>20006</v>
      </c>
      <c r="C19" s="10" t="str">
        <f t="shared" si="1"/>
        <v>Monday</v>
      </c>
      <c r="D19" s="10" t="str">
        <f t="shared" si="2"/>
        <v>0</v>
      </c>
      <c r="E19" s="10" t="str">
        <f t="shared" si="3"/>
        <v>Sunday</v>
      </c>
      <c r="F19" s="10" t="str">
        <f t="shared" si="4"/>
        <v>24</v>
      </c>
    </row>
    <row r="20" spans="1:6">
      <c r="A20" s="7" t="s">
        <v>125</v>
      </c>
      <c r="B20" s="10" t="str">
        <f t="shared" si="0"/>
        <v>20008</v>
      </c>
      <c r="C20" s="10" t="str">
        <f t="shared" si="1"/>
        <v>Monday</v>
      </c>
      <c r="D20" s="10" t="str">
        <f t="shared" si="2"/>
        <v>0</v>
      </c>
      <c r="E20" s="10" t="str">
        <f t="shared" si="3"/>
        <v>Sunday</v>
      </c>
      <c r="F20" s="10" t="str">
        <f t="shared" si="4"/>
        <v>24</v>
      </c>
    </row>
    <row r="21" spans="1:6">
      <c r="A21" s="7" t="s">
        <v>126</v>
      </c>
      <c r="B21" s="10" t="str">
        <f t="shared" si="0"/>
        <v>20010</v>
      </c>
      <c r="C21" s="10" t="str">
        <f t="shared" si="1"/>
        <v>Monday</v>
      </c>
      <c r="D21" s="10" t="str">
        <f t="shared" si="2"/>
        <v>0</v>
      </c>
      <c r="E21" s="10" t="str">
        <f t="shared" si="3"/>
        <v>Sunday</v>
      </c>
      <c r="F21" s="10" t="str">
        <f t="shared" si="4"/>
        <v>24</v>
      </c>
    </row>
    <row r="22" spans="1:6">
      <c r="A22" s="7" t="s">
        <v>127</v>
      </c>
      <c r="B22" s="10" t="str">
        <f t="shared" si="0"/>
        <v>20012</v>
      </c>
      <c r="C22" s="10" t="str">
        <f t="shared" si="1"/>
        <v>Monday</v>
      </c>
      <c r="D22" s="10" t="str">
        <f t="shared" si="2"/>
        <v>0</v>
      </c>
      <c r="E22" s="10" t="str">
        <f t="shared" si="3"/>
        <v>Sunday</v>
      </c>
      <c r="F22" s="10" t="str">
        <f t="shared" si="4"/>
        <v>24</v>
      </c>
    </row>
    <row r="23" spans="1:6">
      <c r="A23" s="7" t="s">
        <v>128</v>
      </c>
      <c r="B23" s="10" t="str">
        <f t="shared" si="0"/>
        <v>20014</v>
      </c>
      <c r="C23" s="10" t="str">
        <f t="shared" si="1"/>
        <v>Monday</v>
      </c>
      <c r="D23" s="10" t="str">
        <f t="shared" si="2"/>
        <v>0</v>
      </c>
      <c r="E23" s="10" t="str">
        <f t="shared" si="3"/>
        <v>Sunday</v>
      </c>
      <c r="F23" s="10" t="str">
        <f t="shared" si="4"/>
        <v>24</v>
      </c>
    </row>
    <row r="24" spans="1:6">
      <c r="A24" s="7" t="s">
        <v>129</v>
      </c>
      <c r="B24" s="10" t="str">
        <f t="shared" si="0"/>
        <v>20016</v>
      </c>
      <c r="C24" s="10" t="str">
        <f t="shared" si="1"/>
        <v>Monday</v>
      </c>
      <c r="D24" s="10" t="str">
        <f t="shared" si="2"/>
        <v>0</v>
      </c>
      <c r="E24" s="10" t="str">
        <f t="shared" si="3"/>
        <v>Sunday</v>
      </c>
      <c r="F24" s="10" t="str">
        <f t="shared" si="4"/>
        <v>24</v>
      </c>
    </row>
    <row r="25" spans="1:6">
      <c r="A25" s="7" t="s">
        <v>130</v>
      </c>
      <c r="B25" s="10" t="str">
        <f t="shared" si="0"/>
        <v>20018</v>
      </c>
      <c r="C25" s="10" t="str">
        <f t="shared" si="1"/>
        <v>Monday</v>
      </c>
      <c r="D25" s="10" t="str">
        <f t="shared" si="2"/>
        <v>0</v>
      </c>
      <c r="E25" s="10" t="str">
        <f t="shared" si="3"/>
        <v>Sunday</v>
      </c>
      <c r="F25" s="10" t="str">
        <f t="shared" si="4"/>
        <v>24</v>
      </c>
    </row>
    <row r="26" spans="1:6">
      <c r="A26" s="7" t="s">
        <v>131</v>
      </c>
      <c r="B26" s="10" t="str">
        <f t="shared" si="0"/>
        <v>20020</v>
      </c>
      <c r="C26" s="10" t="str">
        <f t="shared" si="1"/>
        <v>Monday</v>
      </c>
      <c r="D26" s="10" t="str">
        <f t="shared" si="2"/>
        <v>0</v>
      </c>
      <c r="E26" s="10" t="str">
        <f t="shared" si="3"/>
        <v>Sunday</v>
      </c>
      <c r="F26" s="10" t="str">
        <f t="shared" si="4"/>
        <v>24</v>
      </c>
    </row>
    <row r="27" spans="1:6">
      <c r="A27" s="7" t="s">
        <v>132</v>
      </c>
      <c r="B27" s="10" t="str">
        <f t="shared" si="0"/>
        <v>20022</v>
      </c>
      <c r="C27" s="10" t="str">
        <f t="shared" si="1"/>
        <v>Monday</v>
      </c>
      <c r="D27" s="10" t="str">
        <f t="shared" si="2"/>
        <v>0</v>
      </c>
      <c r="E27" s="10" t="str">
        <f t="shared" si="3"/>
        <v>Sunday</v>
      </c>
      <c r="F27" s="10" t="str">
        <f t="shared" si="4"/>
        <v>24</v>
      </c>
    </row>
    <row r="28" spans="1:6">
      <c r="A28" s="7" t="s">
        <v>133</v>
      </c>
      <c r="B28" s="10" t="str">
        <f t="shared" si="0"/>
        <v>20024</v>
      </c>
      <c r="C28" s="10" t="str">
        <f t="shared" si="1"/>
        <v>Monday</v>
      </c>
      <c r="D28" s="10" t="str">
        <f t="shared" si="2"/>
        <v>0</v>
      </c>
      <c r="E28" s="10" t="str">
        <f t="shared" si="3"/>
        <v>Sunday</v>
      </c>
      <c r="F28" s="10" t="str">
        <f t="shared" si="4"/>
        <v>24</v>
      </c>
    </row>
    <row r="29" spans="1:6">
      <c r="A29" s="7" t="s">
        <v>134</v>
      </c>
      <c r="B29" s="10" t="str">
        <f t="shared" si="0"/>
        <v>20026</v>
      </c>
      <c r="C29" s="10" t="str">
        <f t="shared" si="1"/>
        <v>Monday</v>
      </c>
      <c r="D29" s="10" t="str">
        <f t="shared" si="2"/>
        <v>0</v>
      </c>
      <c r="E29" s="10" t="str">
        <f t="shared" si="3"/>
        <v>Sunday</v>
      </c>
      <c r="F29" s="10" t="str">
        <f t="shared" si="4"/>
        <v>24</v>
      </c>
    </row>
    <row r="30" spans="1:6">
      <c r="A30" s="7" t="s">
        <v>135</v>
      </c>
      <c r="B30" s="10" t="str">
        <f t="shared" si="0"/>
        <v>20028</v>
      </c>
      <c r="C30" s="10" t="str">
        <f t="shared" si="1"/>
        <v>Monday</v>
      </c>
      <c r="D30" s="10" t="str">
        <f t="shared" si="2"/>
        <v>0</v>
      </c>
      <c r="E30" s="10" t="str">
        <f t="shared" si="3"/>
        <v>Sunday</v>
      </c>
      <c r="F30" s="10" t="str">
        <f t="shared" si="4"/>
        <v>24</v>
      </c>
    </row>
    <row r="31" spans="1:6">
      <c r="A31" s="7" t="s">
        <v>136</v>
      </c>
      <c r="B31" s="10" t="str">
        <f t="shared" si="0"/>
        <v>20030</v>
      </c>
      <c r="C31" s="10" t="str">
        <f t="shared" si="1"/>
        <v>Monday</v>
      </c>
      <c r="D31" s="10" t="str">
        <f t="shared" si="2"/>
        <v>0</v>
      </c>
      <c r="E31" s="10" t="str">
        <f t="shared" si="3"/>
        <v>Sunday</v>
      </c>
      <c r="F31" s="10" t="str">
        <f t="shared" si="4"/>
        <v>24</v>
      </c>
    </row>
    <row r="32" spans="1:6">
      <c r="A32" s="7" t="s">
        <v>137</v>
      </c>
      <c r="B32" s="10" t="str">
        <f t="shared" si="0"/>
        <v>20032</v>
      </c>
      <c r="C32" s="10" t="str">
        <f t="shared" si="1"/>
        <v>Monday</v>
      </c>
      <c r="D32" s="10" t="str">
        <f t="shared" si="2"/>
        <v>0</v>
      </c>
      <c r="E32" s="10" t="str">
        <f t="shared" si="3"/>
        <v>Sunday</v>
      </c>
      <c r="F32" s="10" t="str">
        <f t="shared" si="4"/>
        <v>24</v>
      </c>
    </row>
    <row r="33" spans="1:6">
      <c r="A33" s="7" t="s">
        <v>138</v>
      </c>
      <c r="B33" s="10" t="str">
        <f t="shared" si="0"/>
        <v>20034</v>
      </c>
      <c r="C33" s="10" t="str">
        <f t="shared" si="1"/>
        <v>Monday</v>
      </c>
      <c r="D33" s="10" t="str">
        <f t="shared" si="2"/>
        <v>0</v>
      </c>
      <c r="E33" s="10" t="str">
        <f t="shared" si="3"/>
        <v>Sunday</v>
      </c>
      <c r="F33" s="10" t="str">
        <f t="shared" si="4"/>
        <v>24</v>
      </c>
    </row>
    <row r="34" spans="1:6">
      <c r="A34" s="7" t="s">
        <v>139</v>
      </c>
      <c r="B34" s="10" t="str">
        <f t="shared" si="0"/>
        <v>20036</v>
      </c>
      <c r="C34" s="10" t="str">
        <f t="shared" si="1"/>
        <v>Monday</v>
      </c>
      <c r="D34" s="10" t="str">
        <f t="shared" si="2"/>
        <v>0</v>
      </c>
      <c r="E34" s="10" t="str">
        <f t="shared" si="3"/>
        <v>Sunday</v>
      </c>
      <c r="F34" s="10" t="str">
        <f t="shared" si="4"/>
        <v>24</v>
      </c>
    </row>
    <row r="35" spans="1:6">
      <c r="A35" s="7" t="s">
        <v>140</v>
      </c>
      <c r="B35" s="10" t="str">
        <f t="shared" si="0"/>
        <v>20038</v>
      </c>
      <c r="C35" s="10" t="str">
        <f t="shared" si="1"/>
        <v>Monday</v>
      </c>
      <c r="D35" s="10" t="str">
        <f t="shared" si="2"/>
        <v>0</v>
      </c>
      <c r="E35" s="10" t="str">
        <f t="shared" si="3"/>
        <v>Sunday</v>
      </c>
      <c r="F35" s="10" t="str">
        <f t="shared" si="4"/>
        <v>24</v>
      </c>
    </row>
    <row r="36" spans="1:6">
      <c r="A36" s="7" t="s">
        <v>141</v>
      </c>
      <c r="B36" s="10" t="str">
        <f t="shared" si="0"/>
        <v>20040</v>
      </c>
      <c r="C36" s="10" t="str">
        <f t="shared" si="1"/>
        <v>Monday</v>
      </c>
      <c r="D36" s="10" t="str">
        <f t="shared" si="2"/>
        <v>0</v>
      </c>
      <c r="E36" s="10" t="str">
        <f t="shared" si="3"/>
        <v>Sunday</v>
      </c>
      <c r="F36" s="10" t="str">
        <f t="shared" si="4"/>
        <v>24</v>
      </c>
    </row>
    <row r="37" spans="1:6">
      <c r="A37" s="7" t="s">
        <v>142</v>
      </c>
      <c r="B37" s="10" t="str">
        <f t="shared" si="0"/>
        <v>20042</v>
      </c>
      <c r="C37" s="10" t="str">
        <f t="shared" si="1"/>
        <v>Monday</v>
      </c>
      <c r="D37" s="10" t="str">
        <f t="shared" si="2"/>
        <v>0</v>
      </c>
      <c r="E37" s="10" t="str">
        <f t="shared" si="3"/>
        <v>Sunday</v>
      </c>
      <c r="F37" s="10" t="str">
        <f t="shared" si="4"/>
        <v>24</v>
      </c>
    </row>
    <row r="38" spans="1:6">
      <c r="A38" s="7" t="s">
        <v>143</v>
      </c>
      <c r="B38" s="10" t="str">
        <f t="shared" si="0"/>
        <v>20044</v>
      </c>
      <c r="C38" s="10" t="str">
        <f t="shared" si="1"/>
        <v>Monday</v>
      </c>
      <c r="D38" s="10" t="str">
        <f t="shared" si="2"/>
        <v>0</v>
      </c>
      <c r="E38" s="10" t="str">
        <f t="shared" si="3"/>
        <v>Sunday</v>
      </c>
      <c r="F38" s="10" t="str">
        <f t="shared" si="4"/>
        <v>24</v>
      </c>
    </row>
    <row r="39" spans="1:6">
      <c r="A39" s="7" t="s">
        <v>144</v>
      </c>
      <c r="B39" s="10" t="str">
        <f t="shared" si="0"/>
        <v>20046</v>
      </c>
      <c r="C39" s="10" t="str">
        <f t="shared" si="1"/>
        <v>Monday</v>
      </c>
      <c r="D39" s="10" t="str">
        <f t="shared" si="2"/>
        <v>0</v>
      </c>
      <c r="E39" s="10" t="str">
        <f t="shared" si="3"/>
        <v>Sunday</v>
      </c>
      <c r="F39" s="10" t="str">
        <f t="shared" si="4"/>
        <v>24</v>
      </c>
    </row>
    <row r="40" spans="1:6">
      <c r="A40" s="7" t="s">
        <v>145</v>
      </c>
      <c r="B40" s="10" t="str">
        <f t="shared" si="0"/>
        <v>20048</v>
      </c>
      <c r="C40" s="10" t="str">
        <f t="shared" si="1"/>
        <v>Monday</v>
      </c>
      <c r="D40" s="10" t="str">
        <f t="shared" si="2"/>
        <v>0</v>
      </c>
      <c r="E40" s="10" t="str">
        <f t="shared" si="3"/>
        <v>Sunday</v>
      </c>
      <c r="F40" s="10" t="str">
        <f t="shared" si="4"/>
        <v>24</v>
      </c>
    </row>
    <row r="41" spans="1:6">
      <c r="A41" s="7" t="s">
        <v>146</v>
      </c>
      <c r="B41" s="10" t="str">
        <f t="shared" si="0"/>
        <v>20050</v>
      </c>
      <c r="C41" s="10" t="str">
        <f t="shared" si="1"/>
        <v>Monday</v>
      </c>
      <c r="D41" s="10" t="str">
        <f t="shared" si="2"/>
        <v>0</v>
      </c>
      <c r="E41" s="10" t="str">
        <f t="shared" si="3"/>
        <v>Sunday</v>
      </c>
      <c r="F41" s="10" t="str">
        <f t="shared" si="4"/>
        <v>24</v>
      </c>
    </row>
    <row r="42" spans="1:6">
      <c r="A42" s="7" t="s">
        <v>147</v>
      </c>
      <c r="B42" s="10" t="str">
        <f t="shared" si="0"/>
        <v>20052</v>
      </c>
      <c r="C42" s="10" t="str">
        <f t="shared" si="1"/>
        <v>Monday</v>
      </c>
      <c r="D42" s="10" t="str">
        <f t="shared" si="2"/>
        <v>0</v>
      </c>
      <c r="E42" s="10" t="str">
        <f t="shared" si="3"/>
        <v>Sunday</v>
      </c>
      <c r="F42" s="10" t="str">
        <f t="shared" si="4"/>
        <v>24</v>
      </c>
    </row>
    <row r="43" spans="1:6">
      <c r="A43" s="7" t="s">
        <v>148</v>
      </c>
      <c r="B43" s="10" t="str">
        <f t="shared" si="0"/>
        <v>20054</v>
      </c>
      <c r="C43" s="10" t="str">
        <f t="shared" si="1"/>
        <v>Monday</v>
      </c>
      <c r="D43" s="10" t="str">
        <f t="shared" si="2"/>
        <v>0</v>
      </c>
      <c r="E43" s="10" t="str">
        <f t="shared" si="3"/>
        <v>Sunday</v>
      </c>
      <c r="F43" s="10" t="str">
        <f t="shared" si="4"/>
        <v>24</v>
      </c>
    </row>
    <row r="44" spans="1:6">
      <c r="A44" s="7" t="s">
        <v>149</v>
      </c>
      <c r="B44" s="10" t="str">
        <f t="shared" si="0"/>
        <v>20058</v>
      </c>
      <c r="C44" s="10" t="str">
        <f t="shared" si="1"/>
        <v>Monday</v>
      </c>
      <c r="D44" s="10" t="str">
        <f t="shared" si="2"/>
        <v>0</v>
      </c>
      <c r="E44" s="10" t="str">
        <f t="shared" si="3"/>
        <v>Sunday</v>
      </c>
      <c r="F44" s="10" t="str">
        <f t="shared" si="4"/>
        <v>24</v>
      </c>
    </row>
    <row r="45" spans="1:6">
      <c r="A45" s="7" t="s">
        <v>150</v>
      </c>
      <c r="B45" s="10" t="str">
        <f t="shared" si="0"/>
        <v>20060</v>
      </c>
      <c r="C45" s="10" t="str">
        <f t="shared" si="1"/>
        <v>Monday</v>
      </c>
      <c r="D45" s="10" t="str">
        <f t="shared" si="2"/>
        <v>0</v>
      </c>
      <c r="E45" s="10" t="str">
        <f t="shared" si="3"/>
        <v>Sunday</v>
      </c>
      <c r="F45" s="10" t="str">
        <f t="shared" si="4"/>
        <v>24</v>
      </c>
    </row>
    <row r="46" spans="1:6">
      <c r="A46" s="7" t="s">
        <v>112</v>
      </c>
      <c r="B46" s="10" t="str">
        <f t="shared" si="0"/>
        <v>21000</v>
      </c>
      <c r="C46" s="10" t="str">
        <f t="shared" si="1"/>
        <v>Monday</v>
      </c>
      <c r="D46" s="10" t="str">
        <f t="shared" si="2"/>
        <v>0</v>
      </c>
      <c r="E46" s="10" t="str">
        <f t="shared" si="3"/>
        <v>Sunday</v>
      </c>
      <c r="F46" s="10" t="str">
        <f t="shared" si="4"/>
        <v>24</v>
      </c>
    </row>
    <row r="47" spans="1:6">
      <c r="A47" s="7" t="s">
        <v>113</v>
      </c>
      <c r="B47" s="10" t="str">
        <f t="shared" si="0"/>
        <v>21002</v>
      </c>
      <c r="C47" s="10" t="str">
        <f t="shared" si="1"/>
        <v>Monday</v>
      </c>
      <c r="D47" s="10" t="str">
        <f t="shared" si="2"/>
        <v>0</v>
      </c>
      <c r="E47" s="10" t="str">
        <f t="shared" si="3"/>
        <v>Sunday</v>
      </c>
      <c r="F47" s="10" t="str">
        <f t="shared" si="4"/>
        <v>24</v>
      </c>
    </row>
    <row r="48" spans="1:6">
      <c r="A48" s="7" t="s">
        <v>114</v>
      </c>
      <c r="B48" s="10" t="str">
        <f t="shared" si="0"/>
        <v>21004</v>
      </c>
      <c r="C48" s="10" t="str">
        <f t="shared" si="1"/>
        <v>Monday</v>
      </c>
      <c r="D48" s="10" t="str">
        <f t="shared" si="2"/>
        <v>0</v>
      </c>
      <c r="E48" s="10" t="str">
        <f t="shared" si="3"/>
        <v>Sunday</v>
      </c>
      <c r="F48" s="10" t="str">
        <f t="shared" si="4"/>
        <v>24</v>
      </c>
    </row>
    <row r="49" spans="1:6">
      <c r="A49" s="7" t="s">
        <v>115</v>
      </c>
      <c r="B49" s="10" t="str">
        <f t="shared" si="0"/>
        <v>21006</v>
      </c>
      <c r="C49" s="10" t="str">
        <f t="shared" si="1"/>
        <v>Monday</v>
      </c>
      <c r="D49" s="10" t="str">
        <f t="shared" si="2"/>
        <v>0</v>
      </c>
      <c r="E49" s="10" t="str">
        <f t="shared" si="3"/>
        <v>Sunday</v>
      </c>
      <c r="F49" s="10" t="str">
        <f t="shared" si="4"/>
        <v>24</v>
      </c>
    </row>
    <row r="50" spans="1:6">
      <c r="A50" s="7" t="s">
        <v>116</v>
      </c>
      <c r="B50" s="10" t="str">
        <f t="shared" si="0"/>
        <v>21008</v>
      </c>
      <c r="C50" s="10" t="str">
        <f t="shared" si="1"/>
        <v>Monday</v>
      </c>
      <c r="D50" s="10" t="str">
        <f t="shared" si="2"/>
        <v>0</v>
      </c>
      <c r="E50" s="10" t="str">
        <f t="shared" si="3"/>
        <v>Sunday</v>
      </c>
      <c r="F50" s="10" t="str">
        <f t="shared" si="4"/>
        <v>24</v>
      </c>
    </row>
    <row r="51" spans="1:6">
      <c r="A51" s="7" t="s">
        <v>117</v>
      </c>
      <c r="B51" s="10" t="str">
        <f t="shared" si="0"/>
        <v>21010</v>
      </c>
      <c r="C51" s="10" t="str">
        <f t="shared" si="1"/>
        <v>Monday</v>
      </c>
      <c r="D51" s="10" t="str">
        <f t="shared" si="2"/>
        <v>0</v>
      </c>
      <c r="E51" s="10" t="str">
        <f t="shared" si="3"/>
        <v>Sunday</v>
      </c>
      <c r="F51" s="10" t="str">
        <f t="shared" si="4"/>
        <v>24</v>
      </c>
    </row>
    <row r="52" spans="1:6">
      <c r="A52" s="7" t="s">
        <v>118</v>
      </c>
      <c r="B52" s="10" t="str">
        <f t="shared" si="0"/>
        <v>21012</v>
      </c>
      <c r="C52" s="10" t="str">
        <f t="shared" si="1"/>
        <v>Monday</v>
      </c>
      <c r="D52" s="10" t="str">
        <f t="shared" si="2"/>
        <v>0</v>
      </c>
      <c r="E52" s="10" t="str">
        <f t="shared" si="3"/>
        <v>Sunday</v>
      </c>
      <c r="F52" s="10" t="str">
        <f t="shared" si="4"/>
        <v>24</v>
      </c>
    </row>
    <row r="53" spans="1:6">
      <c r="A53" s="7" t="s">
        <v>119</v>
      </c>
      <c r="B53" s="10" t="str">
        <f t="shared" si="0"/>
        <v>21014</v>
      </c>
      <c r="C53" s="10" t="str">
        <f t="shared" si="1"/>
        <v>Monday</v>
      </c>
      <c r="D53" s="10" t="str">
        <f t="shared" si="2"/>
        <v>0</v>
      </c>
      <c r="E53" s="10" t="str">
        <f t="shared" si="3"/>
        <v>Sunday</v>
      </c>
      <c r="F53" s="10" t="str">
        <f t="shared" si="4"/>
        <v>24</v>
      </c>
    </row>
    <row r="54" spans="1:6">
      <c r="A54" s="8" t="s">
        <v>120</v>
      </c>
      <c r="B54" s="10" t="str">
        <f t="shared" si="0"/>
        <v>21016</v>
      </c>
      <c r="C54" s="10" t="str">
        <f t="shared" si="1"/>
        <v>Monday</v>
      </c>
      <c r="D54" s="10" t="str">
        <f t="shared" si="2"/>
        <v>0</v>
      </c>
      <c r="E54" s="10" t="str">
        <f t="shared" si="3"/>
        <v>Sunday</v>
      </c>
      <c r="F54" s="10" t="str">
        <f t="shared" si="4"/>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C22"/>
  <sheetViews>
    <sheetView tabSelected="1" topLeftCell="A12" zoomScaleNormal="100" workbookViewId="0">
      <selection activeCell="A8" sqref="A8"/>
    </sheetView>
  </sheetViews>
  <sheetFormatPr defaultColWidth="11" defaultRowHeight="12.75"/>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3" ht="21">
      <c r="A1" s="38" t="s">
        <v>85</v>
      </c>
      <c r="B1" s="37" t="s">
        <v>166</v>
      </c>
    </row>
    <row r="2" spans="1:3" ht="18.75">
      <c r="B2" s="36" t="s">
        <v>178</v>
      </c>
    </row>
    <row r="5" spans="1:3" ht="15">
      <c r="B5" s="1" t="s">
        <v>151</v>
      </c>
    </row>
    <row r="6" spans="1:3" ht="15">
      <c r="A6" s="3" t="s">
        <v>180</v>
      </c>
      <c r="B6" s="1"/>
    </row>
    <row r="7" spans="1:3" ht="15">
      <c r="A7" s="3" t="s">
        <v>153</v>
      </c>
      <c r="B7" s="1"/>
    </row>
    <row r="8" spans="1:3" ht="15">
      <c r="A8" s="3" t="s">
        <v>179</v>
      </c>
    </row>
    <row r="10" spans="1:3" ht="23.25">
      <c r="A10" s="16" t="s">
        <v>162</v>
      </c>
    </row>
    <row r="11" spans="1:3" ht="15">
      <c r="A11" s="29" t="s">
        <v>86</v>
      </c>
      <c r="B11" s="15" t="s">
        <v>87</v>
      </c>
      <c r="C11" s="15" t="s">
        <v>88</v>
      </c>
    </row>
    <row r="12" spans="1:3" ht="15">
      <c r="A12" s="29">
        <v>44927</v>
      </c>
      <c r="B12" s="15" t="s">
        <v>59</v>
      </c>
      <c r="C12" s="15">
        <v>200</v>
      </c>
    </row>
    <row r="13" spans="1:3" ht="15">
      <c r="A13" s="29">
        <v>44928</v>
      </c>
      <c r="B13" s="15" t="s">
        <v>60</v>
      </c>
      <c r="C13" s="15">
        <v>20</v>
      </c>
    </row>
    <row r="14" spans="1:3" ht="15">
      <c r="A14" s="29">
        <v>44929</v>
      </c>
      <c r="B14" s="15" t="s">
        <v>61</v>
      </c>
      <c r="C14" s="15">
        <v>50</v>
      </c>
    </row>
    <row r="15" spans="1:3" ht="15">
      <c r="A15" s="29">
        <v>44930</v>
      </c>
      <c r="B15" s="15" t="s">
        <v>62</v>
      </c>
      <c r="C15" s="15">
        <v>20</v>
      </c>
    </row>
    <row r="16" spans="1:3" ht="15">
      <c r="A16" s="29">
        <v>44931</v>
      </c>
      <c r="B16" s="15" t="s">
        <v>63</v>
      </c>
      <c r="C16" s="15">
        <v>10</v>
      </c>
    </row>
    <row r="17" spans="1:3" ht="15">
      <c r="A17" s="29">
        <v>44932</v>
      </c>
      <c r="B17" s="15" t="s">
        <v>154</v>
      </c>
      <c r="C17" s="15">
        <v>150</v>
      </c>
    </row>
    <row r="18" spans="1:3" ht="15">
      <c r="A18" s="29">
        <v>44933</v>
      </c>
      <c r="B18" s="15" t="s">
        <v>155</v>
      </c>
      <c r="C18" s="15">
        <v>80</v>
      </c>
    </row>
    <row r="19" spans="1:3" ht="15">
      <c r="A19" s="29">
        <v>44934</v>
      </c>
      <c r="B19" s="15" t="s">
        <v>156</v>
      </c>
      <c r="C19" s="15">
        <v>20</v>
      </c>
    </row>
    <row r="20" spans="1:3" ht="15">
      <c r="A20" s="29">
        <v>44935</v>
      </c>
      <c r="B20" s="15" t="s">
        <v>157</v>
      </c>
      <c r="C20" s="15">
        <v>30</v>
      </c>
    </row>
    <row r="21" spans="1:3" ht="15">
      <c r="A21" s="29">
        <v>44936</v>
      </c>
      <c r="B21" s="15" t="s">
        <v>158</v>
      </c>
      <c r="C21" s="15">
        <v>20</v>
      </c>
    </row>
    <row r="22" spans="1:3" ht="15">
      <c r="B22" s="15" t="s">
        <v>159</v>
      </c>
      <c r="C22" s="23">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N35"/>
  <sheetViews>
    <sheetView topLeftCell="A21" zoomScaleNormal="100" workbookViewId="0">
      <selection activeCell="F22" sqref="F22"/>
    </sheetView>
  </sheetViews>
  <sheetFormatPr defaultColWidth="11" defaultRowHeight="12.75"/>
  <cols>
    <col min="1" max="1" width="28.1640625" style="2" bestFit="1" customWidth="1"/>
    <col min="2" max="16384" width="11" style="2"/>
  </cols>
  <sheetData>
    <row r="1" spans="1:14" ht="21">
      <c r="A1" s="38" t="s">
        <v>98</v>
      </c>
      <c r="B1" s="37" t="s">
        <v>174</v>
      </c>
    </row>
    <row r="3" spans="1:14" ht="15">
      <c r="B3" s="1" t="s">
        <v>151</v>
      </c>
    </row>
    <row r="4" spans="1:14" ht="18.75">
      <c r="A4" s="39" t="s">
        <v>184</v>
      </c>
      <c r="B4" s="1"/>
    </row>
    <row r="5" spans="1:14" ht="18.75">
      <c r="A5" s="39" t="s">
        <v>153</v>
      </c>
      <c r="B5" s="1"/>
    </row>
    <row r="6" spans="1:14" ht="15">
      <c r="A6" s="3" t="s">
        <v>185</v>
      </c>
      <c r="B6" s="1"/>
    </row>
    <row r="8" spans="1:14" ht="23.25">
      <c r="A8" s="16" t="s">
        <v>162</v>
      </c>
      <c r="M8" s="16" t="s">
        <v>163</v>
      </c>
    </row>
    <row r="9" spans="1:14" ht="15">
      <c r="A9" s="24" t="s">
        <v>183</v>
      </c>
      <c r="B9" s="42" t="s">
        <v>89</v>
      </c>
      <c r="C9" s="42" t="s">
        <v>90</v>
      </c>
      <c r="D9" s="42" t="s">
        <v>91</v>
      </c>
      <c r="E9" s="42" t="s">
        <v>92</v>
      </c>
      <c r="F9" s="42" t="s">
        <v>93</v>
      </c>
      <c r="G9" s="42" t="s">
        <v>94</v>
      </c>
      <c r="H9" s="42" t="s">
        <v>95</v>
      </c>
      <c r="I9" s="42" t="s">
        <v>96</v>
      </c>
      <c r="J9" s="42" t="s">
        <v>97</v>
      </c>
      <c r="M9" s="17" t="s">
        <v>43</v>
      </c>
      <c r="N9" s="17" t="s">
        <v>99</v>
      </c>
    </row>
    <row r="10" spans="1:14" ht="15">
      <c r="A10" s="42" t="s">
        <v>89</v>
      </c>
      <c r="B10" s="23">
        <v>-1</v>
      </c>
      <c r="C10" s="23">
        <v>95</v>
      </c>
      <c r="D10" s="23">
        <v>-1</v>
      </c>
      <c r="E10" s="23">
        <v>185</v>
      </c>
      <c r="F10" s="23">
        <v>255</v>
      </c>
      <c r="G10" s="23">
        <v>305</v>
      </c>
      <c r="H10" s="23">
        <v>415</v>
      </c>
      <c r="I10" s="23">
        <v>480</v>
      </c>
      <c r="J10" s="23">
        <v>525</v>
      </c>
      <c r="M10" s="10">
        <v>10100</v>
      </c>
      <c r="N10" s="10" t="s">
        <v>89</v>
      </c>
    </row>
    <row r="11" spans="1:14" ht="15">
      <c r="A11" s="42" t="s">
        <v>90</v>
      </c>
      <c r="B11" s="23">
        <v>95</v>
      </c>
      <c r="C11" s="23">
        <v>-1</v>
      </c>
      <c r="D11" s="23">
        <v>-1</v>
      </c>
      <c r="E11" s="23">
        <v>90</v>
      </c>
      <c r="F11" s="23">
        <v>160</v>
      </c>
      <c r="G11" s="23">
        <v>210</v>
      </c>
      <c r="H11" s="23">
        <v>325</v>
      </c>
      <c r="I11" s="23">
        <v>390</v>
      </c>
      <c r="J11" s="23">
        <v>430</v>
      </c>
      <c r="M11" s="10">
        <v>10102</v>
      </c>
      <c r="N11" s="10" t="s">
        <v>90</v>
      </c>
    </row>
    <row r="12" spans="1:14" ht="15">
      <c r="A12" s="42" t="s">
        <v>91</v>
      </c>
      <c r="B12" s="23">
        <v>-1</v>
      </c>
      <c r="C12" s="23">
        <v>-1</v>
      </c>
      <c r="D12" s="23">
        <v>-1</v>
      </c>
      <c r="E12" s="23">
        <v>60</v>
      </c>
      <c r="F12" s="23">
        <v>130</v>
      </c>
      <c r="G12" s="23">
        <v>180</v>
      </c>
      <c r="H12" s="23">
        <v>295</v>
      </c>
      <c r="I12" s="23">
        <v>355</v>
      </c>
      <c r="J12" s="23">
        <v>400</v>
      </c>
      <c r="M12" s="10">
        <v>10104</v>
      </c>
      <c r="N12" s="10" t="s">
        <v>91</v>
      </c>
    </row>
    <row r="13" spans="1:14" ht="15">
      <c r="A13" s="42" t="s">
        <v>92</v>
      </c>
      <c r="B13" s="23">
        <v>185</v>
      </c>
      <c r="C13" s="23">
        <v>90</v>
      </c>
      <c r="D13" s="23">
        <v>60</v>
      </c>
      <c r="E13" s="23">
        <v>-1</v>
      </c>
      <c r="F13" s="23">
        <v>70</v>
      </c>
      <c r="G13" s="23">
        <v>120</v>
      </c>
      <c r="H13" s="23">
        <v>235</v>
      </c>
      <c r="I13" s="23">
        <v>300</v>
      </c>
      <c r="J13" s="23">
        <v>340</v>
      </c>
      <c r="M13" s="10">
        <v>10106</v>
      </c>
      <c r="N13" s="10" t="s">
        <v>92</v>
      </c>
    </row>
    <row r="14" spans="1:14" ht="15">
      <c r="A14" s="42" t="s">
        <v>93</v>
      </c>
      <c r="B14" s="23">
        <v>255</v>
      </c>
      <c r="C14" s="23">
        <v>160</v>
      </c>
      <c r="D14" s="23">
        <v>130</v>
      </c>
      <c r="E14" s="23">
        <v>70</v>
      </c>
      <c r="F14" s="23">
        <v>-1</v>
      </c>
      <c r="G14" s="23">
        <v>50</v>
      </c>
      <c r="H14" s="23">
        <v>165</v>
      </c>
      <c r="I14" s="23">
        <v>230</v>
      </c>
      <c r="J14" s="23">
        <v>270</v>
      </c>
      <c r="M14" s="10">
        <v>10108</v>
      </c>
      <c r="N14" s="10" t="s">
        <v>93</v>
      </c>
    </row>
    <row r="15" spans="1:14" ht="15">
      <c r="A15" s="42" t="s">
        <v>94</v>
      </c>
      <c r="B15" s="23">
        <v>305</v>
      </c>
      <c r="C15" s="23">
        <v>210</v>
      </c>
      <c r="D15" s="23">
        <v>180</v>
      </c>
      <c r="E15" s="23">
        <v>120</v>
      </c>
      <c r="F15" s="23">
        <v>50</v>
      </c>
      <c r="G15" s="23">
        <v>-1</v>
      </c>
      <c r="H15" s="23">
        <v>115</v>
      </c>
      <c r="I15" s="23">
        <v>180</v>
      </c>
      <c r="J15" s="23">
        <v>220</v>
      </c>
      <c r="M15" s="10">
        <v>10110</v>
      </c>
      <c r="N15" s="10" t="s">
        <v>94</v>
      </c>
    </row>
    <row r="16" spans="1:14" ht="15">
      <c r="A16" s="42" t="s">
        <v>95</v>
      </c>
      <c r="B16" s="23">
        <v>415</v>
      </c>
      <c r="C16" s="23">
        <v>325</v>
      </c>
      <c r="D16" s="23">
        <v>295</v>
      </c>
      <c r="E16" s="23">
        <v>235</v>
      </c>
      <c r="F16" s="23">
        <v>165</v>
      </c>
      <c r="G16" s="23">
        <v>115</v>
      </c>
      <c r="H16" s="23">
        <v>-1</v>
      </c>
      <c r="I16" s="23">
        <v>65</v>
      </c>
      <c r="J16" s="23">
        <v>105</v>
      </c>
      <c r="M16" s="10">
        <v>10112</v>
      </c>
      <c r="N16" s="10" t="s">
        <v>95</v>
      </c>
    </row>
    <row r="17" spans="1:14" ht="15">
      <c r="A17" s="42" t="s">
        <v>96</v>
      </c>
      <c r="B17" s="23">
        <v>480</v>
      </c>
      <c r="C17" s="23">
        <v>390</v>
      </c>
      <c r="D17" s="23">
        <v>355</v>
      </c>
      <c r="E17" s="23">
        <v>300</v>
      </c>
      <c r="F17" s="23">
        <v>230</v>
      </c>
      <c r="G17" s="23">
        <v>180</v>
      </c>
      <c r="H17" s="23">
        <v>65</v>
      </c>
      <c r="I17" s="23">
        <v>-1</v>
      </c>
      <c r="J17" s="23">
        <v>40</v>
      </c>
      <c r="M17" s="10">
        <v>10114</v>
      </c>
      <c r="N17" s="10" t="s">
        <v>96</v>
      </c>
    </row>
    <row r="18" spans="1:14" ht="15">
      <c r="A18" s="42" t="s">
        <v>97</v>
      </c>
      <c r="B18" s="23">
        <v>525</v>
      </c>
      <c r="C18" s="23">
        <v>430</v>
      </c>
      <c r="D18" s="23">
        <v>400</v>
      </c>
      <c r="E18" s="23">
        <v>340</v>
      </c>
      <c r="F18" s="23">
        <v>270</v>
      </c>
      <c r="G18" s="23">
        <v>220</v>
      </c>
      <c r="H18" s="23">
        <v>105</v>
      </c>
      <c r="I18" s="23">
        <v>40</v>
      </c>
      <c r="J18" s="23">
        <v>-1</v>
      </c>
      <c r="M18" s="11">
        <v>10116</v>
      </c>
      <c r="N18" s="11" t="s">
        <v>97</v>
      </c>
    </row>
    <row r="21" spans="1:14" ht="23.25">
      <c r="A21" s="16" t="s">
        <v>167</v>
      </c>
    </row>
    <row r="22" spans="1:14" ht="15">
      <c r="A22" s="12" t="s">
        <v>100</v>
      </c>
      <c r="B22" s="15" t="s">
        <v>101</v>
      </c>
      <c r="C22" s="14" t="s">
        <v>102</v>
      </c>
      <c r="D22" s="2" t="s">
        <v>181</v>
      </c>
      <c r="E22" s="2" t="s">
        <v>182</v>
      </c>
      <c r="F22" s="14"/>
    </row>
    <row r="23" spans="1:14" ht="15">
      <c r="A23" s="7">
        <v>10100</v>
      </c>
      <c r="B23" s="10">
        <v>10102</v>
      </c>
      <c r="C23" s="44">
        <f t="shared" ref="C23:C35" si="0">INDEX($B$10:$J$18,MATCH(D23,$A$10:$A$18,0),MATCH(E23,$B$9:$J$9,0))</f>
        <v>95</v>
      </c>
      <c r="D23" s="2" t="str">
        <f>VLOOKUP(A23,$M$9:$N$18,2,FALSE)</f>
        <v>A</v>
      </c>
      <c r="E23" s="2" t="str">
        <f>VLOOKUP(B23,$M$9:$N$18,2,FALSE)</f>
        <v>B</v>
      </c>
      <c r="I23" s="43"/>
    </row>
    <row r="24" spans="1:14" ht="15">
      <c r="A24" s="7">
        <v>10100</v>
      </c>
      <c r="B24" s="10">
        <v>10104</v>
      </c>
      <c r="C24" s="44">
        <f t="shared" si="0"/>
        <v>-1</v>
      </c>
      <c r="D24" s="2" t="str">
        <f>VLOOKUP(A24,$M$9:$N$18,2,FALSE)</f>
        <v>A</v>
      </c>
      <c r="E24" s="2" t="str">
        <f t="shared" ref="E24:E35" si="1">VLOOKUP(B24,$M$9:$N$18,2,FALSE)</f>
        <v>C</v>
      </c>
      <c r="I24" s="43"/>
    </row>
    <row r="25" spans="1:14" ht="15">
      <c r="A25" s="7">
        <v>10108</v>
      </c>
      <c r="B25" s="10">
        <v>10102</v>
      </c>
      <c r="C25" s="44">
        <f t="shared" si="0"/>
        <v>160</v>
      </c>
      <c r="D25" s="2" t="str">
        <f>VLOOKUP(A25,$M$9:$N$18,2,FALSE)</f>
        <v>E</v>
      </c>
      <c r="E25" s="2" t="str">
        <f t="shared" si="1"/>
        <v>B</v>
      </c>
    </row>
    <row r="26" spans="1:14" ht="15">
      <c r="A26" s="7">
        <v>10100</v>
      </c>
      <c r="B26" s="10">
        <v>10106</v>
      </c>
      <c r="C26" s="44">
        <f t="shared" si="0"/>
        <v>185</v>
      </c>
      <c r="D26" s="2" t="str">
        <f>VLOOKUP(A26,$M$9:$N$18,2,FALSE)</f>
        <v>A</v>
      </c>
      <c r="E26" s="2" t="str">
        <f t="shared" si="1"/>
        <v>D</v>
      </c>
    </row>
    <row r="27" spans="1:14" ht="15">
      <c r="A27" s="7">
        <v>10108</v>
      </c>
      <c r="B27" s="10">
        <v>10110</v>
      </c>
      <c r="C27" s="44">
        <f t="shared" si="0"/>
        <v>50</v>
      </c>
      <c r="D27" s="2" t="str">
        <f t="shared" ref="D27:D35" si="2">VLOOKUP(A27,$M$9:$N$18,2,FALSE)</f>
        <v>E</v>
      </c>
      <c r="E27" s="2" t="str">
        <f t="shared" si="1"/>
        <v>F</v>
      </c>
    </row>
    <row r="28" spans="1:14" ht="15">
      <c r="A28" s="7">
        <v>10102</v>
      </c>
      <c r="B28" s="10">
        <v>10104</v>
      </c>
      <c r="C28" s="44">
        <f t="shared" si="0"/>
        <v>-1</v>
      </c>
      <c r="D28" s="2" t="str">
        <f t="shared" si="2"/>
        <v>B</v>
      </c>
      <c r="E28" s="2" t="str">
        <f t="shared" si="1"/>
        <v>C</v>
      </c>
    </row>
    <row r="29" spans="1:14" ht="15">
      <c r="A29" s="7">
        <v>10106</v>
      </c>
      <c r="B29" s="10">
        <v>10108</v>
      </c>
      <c r="C29" s="44">
        <f t="shared" si="0"/>
        <v>70</v>
      </c>
      <c r="D29" s="2" t="str">
        <f t="shared" si="2"/>
        <v>D</v>
      </c>
      <c r="E29" s="2" t="str">
        <f t="shared" si="1"/>
        <v>E</v>
      </c>
    </row>
    <row r="30" spans="1:14" ht="15">
      <c r="A30" s="7">
        <v>10102</v>
      </c>
      <c r="B30" s="10">
        <v>10106</v>
      </c>
      <c r="C30" s="44">
        <f t="shared" si="0"/>
        <v>90</v>
      </c>
      <c r="D30" s="2" t="str">
        <f t="shared" si="2"/>
        <v>B</v>
      </c>
      <c r="E30" s="2" t="str">
        <f t="shared" si="1"/>
        <v>D</v>
      </c>
    </row>
    <row r="31" spans="1:14" ht="15">
      <c r="A31" s="7">
        <v>10110</v>
      </c>
      <c r="B31" s="10">
        <v>10114</v>
      </c>
      <c r="C31" s="44">
        <f t="shared" si="0"/>
        <v>180</v>
      </c>
      <c r="D31" s="2" t="str">
        <f t="shared" si="2"/>
        <v>F</v>
      </c>
      <c r="E31" s="2" t="str">
        <f t="shared" si="1"/>
        <v>H</v>
      </c>
    </row>
    <row r="32" spans="1:14" ht="15">
      <c r="A32" s="7">
        <v>10104</v>
      </c>
      <c r="B32" s="10">
        <v>10106</v>
      </c>
      <c r="C32" s="44">
        <f t="shared" si="0"/>
        <v>60</v>
      </c>
      <c r="D32" s="2" t="str">
        <f t="shared" si="2"/>
        <v>C</v>
      </c>
      <c r="E32" s="2" t="str">
        <f t="shared" si="1"/>
        <v>D</v>
      </c>
    </row>
    <row r="33" spans="1:5" ht="15">
      <c r="A33" s="7">
        <v>10110</v>
      </c>
      <c r="B33" s="10">
        <v>10112</v>
      </c>
      <c r="C33" s="44">
        <f t="shared" si="0"/>
        <v>115</v>
      </c>
      <c r="D33" s="2" t="str">
        <f t="shared" si="2"/>
        <v>F</v>
      </c>
      <c r="E33" s="2" t="str">
        <f t="shared" si="1"/>
        <v>G</v>
      </c>
    </row>
    <row r="34" spans="1:5" ht="15">
      <c r="A34" s="7">
        <v>10100</v>
      </c>
      <c r="B34" s="10">
        <v>10114</v>
      </c>
      <c r="C34" s="44">
        <f t="shared" si="0"/>
        <v>480</v>
      </c>
      <c r="D34" s="2" t="str">
        <f t="shared" si="2"/>
        <v>A</v>
      </c>
      <c r="E34" s="2" t="str">
        <f t="shared" si="1"/>
        <v>H</v>
      </c>
    </row>
    <row r="35" spans="1:5" ht="15">
      <c r="A35" s="8">
        <v>10112</v>
      </c>
      <c r="B35" s="11">
        <v>10116</v>
      </c>
      <c r="C35" s="44">
        <f t="shared" si="0"/>
        <v>105</v>
      </c>
      <c r="D35" s="2" t="str">
        <f t="shared" si="2"/>
        <v>G</v>
      </c>
      <c r="E35" s="2" t="str">
        <f t="shared" si="1"/>
        <v>I</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DEEPTI KIRAN</cp:lastModifiedBy>
  <dcterms:created xsi:type="dcterms:W3CDTF">2015-02-10T17:33:11Z</dcterms:created>
  <dcterms:modified xsi:type="dcterms:W3CDTF">2023-12-13T06:50:46Z</dcterms:modified>
</cp:coreProperties>
</file>